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CB Xpress working files\Fixed rate related files\"/>
    </mc:Choice>
  </mc:AlternateContent>
  <xr:revisionPtr revIDLastSave="0" documentId="13_ncr:1_{ECD0102A-69E7-4EEF-BEE8-59D158A250C3}" xr6:coauthVersionLast="47" xr6:coauthVersionMax="47" xr10:uidLastSave="{00000000-0000-0000-0000-000000000000}"/>
  <bookViews>
    <workbookView xWindow="-108" yWindow="-108" windowWidth="23256" windowHeight="12576" activeTab="2" xr2:uid="{E26891CB-13F8-4961-8BAD-C244EDF9B283}"/>
  </bookViews>
  <sheets>
    <sheet name="Fixed Rate Card" sheetId="1" r:id="rId1"/>
    <sheet name="Fixed Rate Card for Print" sheetId="2" r:id="rId2"/>
    <sheet name="Fixed Rate Card for Print (2)" sheetId="5" r:id="rId3"/>
    <sheet name="Sheet1" sheetId="3" r:id="rId4"/>
    <sheet name="Single layer setup cost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1" i="5" l="1"/>
  <c r="H31" i="5"/>
  <c r="E31" i="5"/>
  <c r="F31" i="5" s="1"/>
  <c r="J30" i="5"/>
  <c r="H30" i="5"/>
  <c r="E30" i="5"/>
  <c r="F30" i="5" s="1"/>
  <c r="J29" i="5"/>
  <c r="H29" i="5"/>
  <c r="E29" i="5"/>
  <c r="F29" i="5" s="1"/>
  <c r="J28" i="5"/>
  <c r="H28" i="5"/>
  <c r="E28" i="5"/>
  <c r="F28" i="5" s="1"/>
  <c r="J27" i="5"/>
  <c r="H27" i="5"/>
  <c r="E27" i="5"/>
  <c r="F27" i="5" s="1"/>
  <c r="J26" i="5"/>
  <c r="H26" i="5"/>
  <c r="E26" i="5"/>
  <c r="F26" i="5" s="1"/>
  <c r="J25" i="5"/>
  <c r="H25" i="5"/>
  <c r="E25" i="5"/>
  <c r="F25" i="5" s="1"/>
  <c r="J22" i="5"/>
  <c r="H22" i="5"/>
  <c r="E22" i="5"/>
  <c r="F22" i="5" s="1"/>
  <c r="J21" i="5"/>
  <c r="H21" i="5"/>
  <c r="E21" i="5"/>
  <c r="F21" i="5" s="1"/>
  <c r="J20" i="5"/>
  <c r="H20" i="5"/>
  <c r="E20" i="5"/>
  <c r="F20" i="5" s="1"/>
  <c r="J19" i="5"/>
  <c r="H19" i="5"/>
  <c r="E19" i="5"/>
  <c r="F19" i="5" s="1"/>
  <c r="J18" i="5"/>
  <c r="H18" i="5"/>
  <c r="E18" i="5"/>
  <c r="F18" i="5" s="1"/>
  <c r="J17" i="5"/>
  <c r="H17" i="5"/>
  <c r="E17" i="5"/>
  <c r="F17" i="5" s="1"/>
  <c r="J16" i="5"/>
  <c r="H16" i="5"/>
  <c r="E16" i="5"/>
  <c r="F16" i="5" s="1"/>
  <c r="H13" i="5"/>
  <c r="J13" i="5" s="1"/>
  <c r="E13" i="5"/>
  <c r="F13" i="5" s="1"/>
  <c r="J12" i="5"/>
  <c r="H12" i="5"/>
  <c r="E12" i="5"/>
  <c r="F12" i="5" s="1"/>
  <c r="J11" i="5"/>
  <c r="H11" i="5"/>
  <c r="E11" i="5"/>
  <c r="F11" i="5" s="1"/>
  <c r="J10" i="5"/>
  <c r="H10" i="5"/>
  <c r="E10" i="5"/>
  <c r="F10" i="5" s="1"/>
  <c r="J9" i="5"/>
  <c r="H9" i="5"/>
  <c r="E9" i="5"/>
  <c r="F9" i="5" s="1"/>
  <c r="J8" i="5"/>
  <c r="H8" i="5"/>
  <c r="E8" i="5"/>
  <c r="F8" i="5" s="1"/>
  <c r="J7" i="5"/>
  <c r="H7" i="5"/>
  <c r="E7" i="5"/>
  <c r="F7" i="5" s="1"/>
  <c r="A6" i="5"/>
  <c r="A15" i="5" s="1"/>
  <c r="A5" i="5"/>
  <c r="A4" i="5"/>
  <c r="D5" i="3"/>
  <c r="E5" i="3" s="1"/>
  <c r="D4" i="3"/>
  <c r="E4" i="3" s="1"/>
  <c r="D3" i="3"/>
  <c r="E3" i="3" s="1"/>
  <c r="H31" i="2"/>
  <c r="J31" i="2" s="1"/>
  <c r="E31" i="2"/>
  <c r="F31" i="2" s="1"/>
  <c r="H30" i="2"/>
  <c r="J30" i="2" s="1"/>
  <c r="E30" i="2"/>
  <c r="F30" i="2" s="1"/>
  <c r="H29" i="2"/>
  <c r="J29" i="2" s="1"/>
  <c r="E29" i="2"/>
  <c r="F29" i="2" s="1"/>
  <c r="H28" i="2"/>
  <c r="J28" i="2" s="1"/>
  <c r="E28" i="2"/>
  <c r="F28" i="2" s="1"/>
  <c r="H27" i="2"/>
  <c r="J27" i="2" s="1"/>
  <c r="E27" i="2"/>
  <c r="F27" i="2" s="1"/>
  <c r="H26" i="2"/>
  <c r="J26" i="2" s="1"/>
  <c r="E26" i="2"/>
  <c r="F26" i="2" s="1"/>
  <c r="H25" i="2"/>
  <c r="J25" i="2" s="1"/>
  <c r="E25" i="2"/>
  <c r="F25" i="2" s="1"/>
  <c r="H22" i="2"/>
  <c r="J22" i="2" s="1"/>
  <c r="E22" i="2"/>
  <c r="F22" i="2" s="1"/>
  <c r="H21" i="2"/>
  <c r="J21" i="2" s="1"/>
  <c r="E21" i="2"/>
  <c r="F21" i="2" s="1"/>
  <c r="H20" i="2"/>
  <c r="J20" i="2" s="1"/>
  <c r="E20" i="2"/>
  <c r="F20" i="2" s="1"/>
  <c r="H19" i="2"/>
  <c r="J19" i="2" s="1"/>
  <c r="E19" i="2"/>
  <c r="F19" i="2" s="1"/>
  <c r="H18" i="2"/>
  <c r="J18" i="2" s="1"/>
  <c r="E18" i="2"/>
  <c r="F18" i="2" s="1"/>
  <c r="H17" i="2"/>
  <c r="J17" i="2" s="1"/>
  <c r="E17" i="2"/>
  <c r="F17" i="2" s="1"/>
  <c r="H16" i="2"/>
  <c r="J16" i="2" s="1"/>
  <c r="E16" i="2"/>
  <c r="F16" i="2" s="1"/>
  <c r="H13" i="2"/>
  <c r="J13" i="2" s="1"/>
  <c r="E13" i="2"/>
  <c r="F13" i="2" s="1"/>
  <c r="H12" i="2"/>
  <c r="J12" i="2" s="1"/>
  <c r="E12" i="2"/>
  <c r="F12" i="2" s="1"/>
  <c r="H11" i="2"/>
  <c r="J11" i="2" s="1"/>
  <c r="E11" i="2"/>
  <c r="F11" i="2" s="1"/>
  <c r="H10" i="2"/>
  <c r="J10" i="2" s="1"/>
  <c r="E10" i="2"/>
  <c r="F10" i="2" s="1"/>
  <c r="H9" i="2"/>
  <c r="J9" i="2" s="1"/>
  <c r="E9" i="2"/>
  <c r="F9" i="2" s="1"/>
  <c r="H8" i="2"/>
  <c r="J8" i="2" s="1"/>
  <c r="E8" i="2"/>
  <c r="F8" i="2" s="1"/>
  <c r="H7" i="2"/>
  <c r="J7" i="2" s="1"/>
  <c r="E7" i="2"/>
  <c r="F7" i="2" s="1"/>
  <c r="A4" i="2"/>
  <c r="A5" i="2" s="1"/>
  <c r="A6" i="2" s="1"/>
  <c r="A15" i="2" s="1"/>
  <c r="D37" i="1" l="1"/>
  <c r="E37" i="1" s="1"/>
  <c r="D36" i="1"/>
  <c r="E36" i="1" s="1"/>
  <c r="D35" i="1"/>
  <c r="E35" i="1" s="1"/>
  <c r="H31" i="1"/>
  <c r="I31" i="1" s="1"/>
  <c r="E31" i="1"/>
  <c r="F31" i="1" s="1"/>
  <c r="H30" i="1"/>
  <c r="I30" i="1" s="1"/>
  <c r="E30" i="1"/>
  <c r="F30" i="1" s="1"/>
  <c r="H29" i="1"/>
  <c r="I29" i="1" s="1"/>
  <c r="E29" i="1"/>
  <c r="F29" i="1" s="1"/>
  <c r="H28" i="1"/>
  <c r="I28" i="1" s="1"/>
  <c r="E28" i="1"/>
  <c r="F28" i="1" s="1"/>
  <c r="H27" i="1"/>
  <c r="I27" i="1" s="1"/>
  <c r="E27" i="1"/>
  <c r="F27" i="1" s="1"/>
  <c r="H26" i="1"/>
  <c r="I26" i="1" s="1"/>
  <c r="E26" i="1"/>
  <c r="F26" i="1" s="1"/>
  <c r="H25" i="1"/>
  <c r="I25" i="1" s="1"/>
  <c r="E25" i="1"/>
  <c r="F25" i="1" s="1"/>
  <c r="H22" i="1"/>
  <c r="I22" i="1" s="1"/>
  <c r="E22" i="1"/>
  <c r="F22" i="1" s="1"/>
  <c r="H21" i="1"/>
  <c r="I21" i="1" s="1"/>
  <c r="E21" i="1"/>
  <c r="F21" i="1" s="1"/>
  <c r="H20" i="1"/>
  <c r="I20" i="1" s="1"/>
  <c r="E20" i="1"/>
  <c r="F20" i="1" s="1"/>
  <c r="H19" i="1"/>
  <c r="I19" i="1" s="1"/>
  <c r="E19" i="1"/>
  <c r="F19" i="1" s="1"/>
  <c r="H18" i="1"/>
  <c r="I18" i="1" s="1"/>
  <c r="E18" i="1"/>
  <c r="F18" i="1" s="1"/>
  <c r="H17" i="1"/>
  <c r="I17" i="1" s="1"/>
  <c r="E17" i="1"/>
  <c r="F17" i="1" s="1"/>
  <c r="H16" i="1"/>
  <c r="I16" i="1" s="1"/>
  <c r="E16" i="1"/>
  <c r="F16" i="1" s="1"/>
  <c r="H13" i="1"/>
  <c r="I13" i="1" s="1"/>
  <c r="E13" i="1"/>
  <c r="F13" i="1" s="1"/>
  <c r="H12" i="1"/>
  <c r="I12" i="1" s="1"/>
  <c r="E12" i="1"/>
  <c r="F12" i="1" s="1"/>
  <c r="H11" i="1"/>
  <c r="I11" i="1" s="1"/>
  <c r="E11" i="1"/>
  <c r="F11" i="1" s="1"/>
  <c r="H10" i="1"/>
  <c r="I10" i="1" s="1"/>
  <c r="E10" i="1"/>
  <c r="F10" i="1" s="1"/>
  <c r="H9" i="1"/>
  <c r="I9" i="1" s="1"/>
  <c r="E9" i="1"/>
  <c r="F9" i="1" s="1"/>
  <c r="H8" i="1"/>
  <c r="I8" i="1" s="1"/>
  <c r="E8" i="1"/>
  <c r="F8" i="1" s="1"/>
  <c r="H7" i="1"/>
  <c r="I7" i="1" s="1"/>
  <c r="E7" i="1"/>
  <c r="F7" i="1" s="1"/>
  <c r="A4" i="1"/>
  <c r="A5" i="1" s="1"/>
  <c r="A6" i="1" s="1"/>
  <c r="A15" i="1" s="1"/>
</calcChain>
</file>

<file path=xl/sharedStrings.xml><?xml version="1.0" encoding="utf-8"?>
<sst xmlns="http://schemas.openxmlformats.org/spreadsheetml/2006/main" count="273" uniqueCount="49">
  <si>
    <t>Sl. No.</t>
  </si>
  <si>
    <t>Type of PCB</t>
  </si>
  <si>
    <t>Delivery Period</t>
  </si>
  <si>
    <t>Fixed Cost</t>
  </si>
  <si>
    <t>Minimum Order Qty.</t>
  </si>
  <si>
    <t>Per CM Price</t>
  </si>
  <si>
    <t>Remarks</t>
  </si>
  <si>
    <t>Express</t>
  </si>
  <si>
    <t>Standard</t>
  </si>
  <si>
    <t>Single Layer</t>
  </si>
  <si>
    <t>3-5 Days</t>
  </si>
  <si>
    <t>10-15 Days</t>
  </si>
  <si>
    <t>All the delivery is considered after payment</t>
  </si>
  <si>
    <t>Double Layer</t>
  </si>
  <si>
    <t>All the rate are mentioned and delivery period mentioned is for sample. 
The order delivery will depend upon the QTY.</t>
  </si>
  <si>
    <t>Production</t>
  </si>
  <si>
    <t>Minimum lead period</t>
  </si>
  <si>
    <t>Rate PerSQCM
Paisa</t>
  </si>
  <si>
    <t>GST 18% Extra</t>
  </si>
  <si>
    <t>Actual Setup cost with GST</t>
  </si>
  <si>
    <t>On Time Cost 
(Septup cost)</t>
  </si>
  <si>
    <t>Transportation
as per actuals</t>
  </si>
  <si>
    <t>15-Days</t>
  </si>
  <si>
    <t>Paid by customer</t>
  </si>
  <si>
    <t>20-Days</t>
  </si>
  <si>
    <t>27-Days</t>
  </si>
  <si>
    <t>&gt;10000</t>
  </si>
  <si>
    <t>Multi Layer</t>
  </si>
  <si>
    <t>PCB Assembly</t>
  </si>
  <si>
    <t>Stencil Cost</t>
  </si>
  <si>
    <t>Soldering Point</t>
  </si>
  <si>
    <t>Per Point</t>
  </si>
  <si>
    <t>cost as per number of points</t>
  </si>
  <si>
    <t>Number components</t>
  </si>
  <si>
    <t>For SMT boards</t>
  </si>
  <si>
    <t>for 5 boards</t>
  </si>
  <si>
    <t>Demo</t>
  </si>
  <si>
    <t>for setup cost</t>
  </si>
  <si>
    <t>Wire assemply (harnessing)</t>
  </si>
  <si>
    <t>Labour charges Per Crimp</t>
  </si>
  <si>
    <t>Material cost as per actual</t>
  </si>
  <si>
    <t>Minimum Cost for 10 nos</t>
  </si>
  <si>
    <t>3D Printing</t>
  </si>
  <si>
    <t>Per sample (considering as per one day running cost)</t>
  </si>
  <si>
    <t>for further qty Per gram and time</t>
  </si>
  <si>
    <t>Calculated as per the actual cost after preparing the sample</t>
  </si>
  <si>
    <t>Considering material used and time consumed for the sample</t>
  </si>
  <si>
    <t>For further qty Per gram and time</t>
  </si>
  <si>
    <t>Minimum 
Order 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</si>
</sst>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B679-EEDF-455F-BA4D-00F3C805A14B}">
  <dimension ref="A1:J46"/>
  <sheetViews>
    <sheetView workbookViewId="0">
      <selection activeCell="F9" sqref="F9"/>
    </sheetView>
  </sheetViews>
  <sheetFormatPr defaultRowHeight="14.4" x14ac:dyDescent="0.3"/>
  <cols>
    <col min="1" max="1" width="6.6640625" style="1" bestFit="1" customWidth="1"/>
    <col min="2" max="2" width="26" bestFit="1" customWidth="1"/>
    <col min="3" max="3" width="11.44140625" customWidth="1"/>
    <col min="4" max="4" width="24.33203125" bestFit="1" customWidth="1"/>
    <col min="5" max="5" width="12.6640625" customWidth="1"/>
    <col min="6" max="6" width="18.6640625" customWidth="1"/>
    <col min="7" max="7" width="19.5546875" bestFit="1" customWidth="1"/>
    <col min="8" max="8" width="19.5546875" customWidth="1"/>
    <col min="9" max="9" width="41.88671875" customWidth="1"/>
    <col min="10" max="10" width="16.33203125" bestFit="1" customWidth="1"/>
    <col min="11" max="11" width="14.109375" customWidth="1"/>
  </cols>
  <sheetData>
    <row r="1" spans="1:10" s="10" customFormat="1" x14ac:dyDescent="0.3">
      <c r="A1" s="8" t="s">
        <v>0</v>
      </c>
      <c r="B1" s="9" t="s">
        <v>1</v>
      </c>
      <c r="C1" s="9" t="s">
        <v>2</v>
      </c>
      <c r="D1" s="9"/>
      <c r="E1" s="9" t="s">
        <v>3</v>
      </c>
      <c r="F1" s="9"/>
      <c r="G1" s="9" t="s">
        <v>4</v>
      </c>
      <c r="H1" s="9" t="s">
        <v>5</v>
      </c>
      <c r="I1" s="10" t="s">
        <v>6</v>
      </c>
    </row>
    <row r="2" spans="1:10" x14ac:dyDescent="0.3">
      <c r="C2" t="s">
        <v>7</v>
      </c>
      <c r="D2" t="s">
        <v>8</v>
      </c>
      <c r="E2" t="s">
        <v>7</v>
      </c>
      <c r="F2" t="s">
        <v>8</v>
      </c>
    </row>
    <row r="3" spans="1:10" x14ac:dyDescent="0.3">
      <c r="A3" s="1">
        <v>1</v>
      </c>
      <c r="B3" t="s">
        <v>9</v>
      </c>
      <c r="C3" s="2" t="s">
        <v>10</v>
      </c>
      <c r="D3" t="s">
        <v>11</v>
      </c>
      <c r="E3">
        <v>7000</v>
      </c>
      <c r="F3">
        <v>5000</v>
      </c>
      <c r="G3">
        <v>5</v>
      </c>
      <c r="I3" t="s">
        <v>12</v>
      </c>
    </row>
    <row r="4" spans="1:10" ht="43.2" x14ac:dyDescent="0.3">
      <c r="A4" s="1">
        <f>A3+1</f>
        <v>2</v>
      </c>
      <c r="B4" t="s">
        <v>13</v>
      </c>
      <c r="C4" s="2" t="s">
        <v>10</v>
      </c>
      <c r="D4" t="s">
        <v>11</v>
      </c>
      <c r="E4">
        <v>15000</v>
      </c>
      <c r="F4">
        <v>10000</v>
      </c>
      <c r="G4">
        <v>5</v>
      </c>
      <c r="I4" s="3" t="s">
        <v>14</v>
      </c>
    </row>
    <row r="5" spans="1:10" x14ac:dyDescent="0.3">
      <c r="A5" s="1">
        <f t="shared" ref="A5:A6" si="0">A4+1</f>
        <v>3</v>
      </c>
      <c r="B5" t="s">
        <v>15</v>
      </c>
    </row>
    <row r="6" spans="1:10" s="4" customFormat="1" ht="28.8" x14ac:dyDescent="0.3">
      <c r="A6" s="4">
        <f t="shared" si="0"/>
        <v>4</v>
      </c>
      <c r="B6" s="4" t="s">
        <v>9</v>
      </c>
      <c r="C6" s="5" t="s">
        <v>16</v>
      </c>
      <c r="D6" s="5" t="s">
        <v>17</v>
      </c>
      <c r="E6" s="4" t="s">
        <v>18</v>
      </c>
      <c r="F6" s="5" t="s">
        <v>19</v>
      </c>
      <c r="G6" s="5" t="s">
        <v>20</v>
      </c>
      <c r="H6" s="4" t="s">
        <v>18</v>
      </c>
      <c r="I6" s="5" t="s">
        <v>19</v>
      </c>
      <c r="J6" s="5" t="s">
        <v>21</v>
      </c>
    </row>
    <row r="7" spans="1:10" x14ac:dyDescent="0.3">
      <c r="B7">
        <v>50</v>
      </c>
      <c r="C7" t="s">
        <v>22</v>
      </c>
      <c r="D7">
        <v>45</v>
      </c>
      <c r="E7">
        <f>D7*18%</f>
        <v>8.1</v>
      </c>
      <c r="F7">
        <f>E7+D7</f>
        <v>53.1</v>
      </c>
      <c r="G7">
        <v>5000</v>
      </c>
      <c r="H7">
        <f>G7*18%</f>
        <v>900</v>
      </c>
      <c r="I7">
        <f>H7+G7</f>
        <v>5900</v>
      </c>
      <c r="J7" t="s">
        <v>23</v>
      </c>
    </row>
    <row r="8" spans="1:10" x14ac:dyDescent="0.3">
      <c r="B8">
        <v>100</v>
      </c>
      <c r="C8" t="s">
        <v>24</v>
      </c>
      <c r="D8">
        <v>40</v>
      </c>
      <c r="E8">
        <f t="shared" ref="E8:E13" si="1">D8*18%</f>
        <v>7.1999999999999993</v>
      </c>
      <c r="F8">
        <f t="shared" ref="F8:F13" si="2">E8+D8</f>
        <v>47.2</v>
      </c>
      <c r="G8">
        <v>2500</v>
      </c>
      <c r="H8">
        <f t="shared" ref="H8:H13" si="3">G8*18%</f>
        <v>450</v>
      </c>
      <c r="I8">
        <f t="shared" ref="I8:I13" si="4">H8+G8</f>
        <v>2950</v>
      </c>
      <c r="J8" t="s">
        <v>23</v>
      </c>
    </row>
    <row r="9" spans="1:10" x14ac:dyDescent="0.3">
      <c r="B9">
        <v>250</v>
      </c>
      <c r="C9" t="s">
        <v>25</v>
      </c>
      <c r="D9">
        <v>35</v>
      </c>
      <c r="E9">
        <f t="shared" si="1"/>
        <v>6.3</v>
      </c>
      <c r="F9">
        <f t="shared" si="2"/>
        <v>41.3</v>
      </c>
      <c r="G9">
        <v>2500</v>
      </c>
      <c r="H9">
        <f t="shared" si="3"/>
        <v>450</v>
      </c>
      <c r="I9">
        <f t="shared" si="4"/>
        <v>2950</v>
      </c>
      <c r="J9" t="s">
        <v>23</v>
      </c>
    </row>
    <row r="10" spans="1:10" x14ac:dyDescent="0.3">
      <c r="B10">
        <v>500</v>
      </c>
      <c r="C10" t="s">
        <v>25</v>
      </c>
      <c r="D10">
        <v>35</v>
      </c>
      <c r="E10">
        <f t="shared" si="1"/>
        <v>6.3</v>
      </c>
      <c r="F10">
        <f t="shared" si="2"/>
        <v>41.3</v>
      </c>
      <c r="G10">
        <v>2000</v>
      </c>
      <c r="H10">
        <f t="shared" si="3"/>
        <v>360</v>
      </c>
      <c r="I10">
        <f t="shared" si="4"/>
        <v>2360</v>
      </c>
      <c r="J10" t="s">
        <v>23</v>
      </c>
    </row>
    <row r="11" spans="1:10" x14ac:dyDescent="0.3">
      <c r="B11">
        <v>1000</v>
      </c>
      <c r="C11" t="s">
        <v>25</v>
      </c>
      <c r="D11">
        <v>35</v>
      </c>
      <c r="E11">
        <f t="shared" si="1"/>
        <v>6.3</v>
      </c>
      <c r="F11">
        <f t="shared" si="2"/>
        <v>41.3</v>
      </c>
      <c r="G11">
        <v>2000</v>
      </c>
      <c r="H11">
        <f t="shared" si="3"/>
        <v>360</v>
      </c>
      <c r="I11">
        <f t="shared" si="4"/>
        <v>2360</v>
      </c>
      <c r="J11" t="s">
        <v>23</v>
      </c>
    </row>
    <row r="12" spans="1:10" x14ac:dyDescent="0.3">
      <c r="B12">
        <v>5000</v>
      </c>
      <c r="C12" t="s">
        <v>25</v>
      </c>
      <c r="D12">
        <v>35</v>
      </c>
      <c r="E12">
        <f t="shared" si="1"/>
        <v>6.3</v>
      </c>
      <c r="F12">
        <f t="shared" si="2"/>
        <v>41.3</v>
      </c>
      <c r="G12">
        <v>2000</v>
      </c>
      <c r="H12">
        <f t="shared" si="3"/>
        <v>360</v>
      </c>
      <c r="I12">
        <f t="shared" si="4"/>
        <v>2360</v>
      </c>
      <c r="J12" t="s">
        <v>23</v>
      </c>
    </row>
    <row r="13" spans="1:10" x14ac:dyDescent="0.3">
      <c r="B13" s="6" t="s">
        <v>26</v>
      </c>
      <c r="C13" t="s">
        <v>25</v>
      </c>
      <c r="D13">
        <v>30</v>
      </c>
      <c r="E13">
        <f t="shared" si="1"/>
        <v>5.3999999999999995</v>
      </c>
      <c r="F13">
        <f t="shared" si="2"/>
        <v>35.4</v>
      </c>
      <c r="G13">
        <v>2000</v>
      </c>
      <c r="H13">
        <f t="shared" si="3"/>
        <v>360</v>
      </c>
      <c r="I13">
        <f t="shared" si="4"/>
        <v>2360</v>
      </c>
      <c r="J13" t="s">
        <v>23</v>
      </c>
    </row>
    <row r="14" spans="1:10" x14ac:dyDescent="0.3">
      <c r="B14" s="6"/>
    </row>
    <row r="15" spans="1:10" x14ac:dyDescent="0.3">
      <c r="A15" s="1">
        <f>A6+1</f>
        <v>5</v>
      </c>
      <c r="B15" t="s">
        <v>13</v>
      </c>
    </row>
    <row r="16" spans="1:10" x14ac:dyDescent="0.3">
      <c r="B16">
        <v>50</v>
      </c>
      <c r="C16" t="s">
        <v>22</v>
      </c>
      <c r="D16">
        <v>90</v>
      </c>
      <c r="E16">
        <f>D16*18%</f>
        <v>16.2</v>
      </c>
      <c r="F16">
        <f>E16+D16</f>
        <v>106.2</v>
      </c>
      <c r="G16">
        <v>10000</v>
      </c>
      <c r="H16">
        <f>G16*18%</f>
        <v>1800</v>
      </c>
      <c r="I16">
        <f>H16+G16</f>
        <v>11800</v>
      </c>
      <c r="J16" t="s">
        <v>23</v>
      </c>
    </row>
    <row r="17" spans="1:10" x14ac:dyDescent="0.3">
      <c r="B17">
        <v>100</v>
      </c>
      <c r="C17" t="s">
        <v>24</v>
      </c>
      <c r="D17">
        <v>80</v>
      </c>
      <c r="E17">
        <f t="shared" ref="E17:E22" si="5">D17*18%</f>
        <v>14.399999999999999</v>
      </c>
      <c r="F17">
        <f t="shared" ref="F17:F22" si="6">E17+D17</f>
        <v>94.4</v>
      </c>
      <c r="G17">
        <v>5000</v>
      </c>
      <c r="H17">
        <f t="shared" ref="H17:H22" si="7">G17*18%</f>
        <v>900</v>
      </c>
      <c r="I17">
        <f t="shared" ref="I17:I22" si="8">H17+G17</f>
        <v>5900</v>
      </c>
      <c r="J17" t="s">
        <v>23</v>
      </c>
    </row>
    <row r="18" spans="1:10" x14ac:dyDescent="0.3">
      <c r="B18">
        <v>250</v>
      </c>
      <c r="C18" t="s">
        <v>25</v>
      </c>
      <c r="D18">
        <v>70</v>
      </c>
      <c r="E18">
        <f t="shared" si="5"/>
        <v>12.6</v>
      </c>
      <c r="F18">
        <f t="shared" si="6"/>
        <v>82.6</v>
      </c>
      <c r="G18">
        <v>5000</v>
      </c>
      <c r="H18">
        <f t="shared" si="7"/>
        <v>900</v>
      </c>
      <c r="I18">
        <f t="shared" si="8"/>
        <v>5900</v>
      </c>
      <c r="J18" t="s">
        <v>23</v>
      </c>
    </row>
    <row r="19" spans="1:10" x14ac:dyDescent="0.3">
      <c r="B19">
        <v>500</v>
      </c>
      <c r="C19" t="s">
        <v>25</v>
      </c>
      <c r="D19">
        <v>70</v>
      </c>
      <c r="E19">
        <f t="shared" si="5"/>
        <v>12.6</v>
      </c>
      <c r="F19">
        <f t="shared" si="6"/>
        <v>82.6</v>
      </c>
      <c r="G19">
        <v>4000</v>
      </c>
      <c r="H19">
        <f t="shared" si="7"/>
        <v>720</v>
      </c>
      <c r="I19">
        <f t="shared" si="8"/>
        <v>4720</v>
      </c>
      <c r="J19" t="s">
        <v>23</v>
      </c>
    </row>
    <row r="20" spans="1:10" x14ac:dyDescent="0.3">
      <c r="B20">
        <v>1000</v>
      </c>
      <c r="C20" t="s">
        <v>25</v>
      </c>
      <c r="D20">
        <v>70</v>
      </c>
      <c r="E20">
        <f t="shared" si="5"/>
        <v>12.6</v>
      </c>
      <c r="F20">
        <f t="shared" si="6"/>
        <v>82.6</v>
      </c>
      <c r="G20">
        <v>4000</v>
      </c>
      <c r="H20">
        <f t="shared" si="7"/>
        <v>720</v>
      </c>
      <c r="I20">
        <f t="shared" si="8"/>
        <v>4720</v>
      </c>
      <c r="J20" t="s">
        <v>23</v>
      </c>
    </row>
    <row r="21" spans="1:10" x14ac:dyDescent="0.3">
      <c r="B21">
        <v>5000</v>
      </c>
      <c r="C21" t="s">
        <v>25</v>
      </c>
      <c r="D21">
        <v>70</v>
      </c>
      <c r="E21">
        <f t="shared" si="5"/>
        <v>12.6</v>
      </c>
      <c r="F21">
        <f t="shared" si="6"/>
        <v>82.6</v>
      </c>
      <c r="G21">
        <v>4000</v>
      </c>
      <c r="H21">
        <f t="shared" si="7"/>
        <v>720</v>
      </c>
      <c r="I21">
        <f t="shared" si="8"/>
        <v>4720</v>
      </c>
      <c r="J21" t="s">
        <v>23</v>
      </c>
    </row>
    <row r="22" spans="1:10" x14ac:dyDescent="0.3">
      <c r="B22" s="6" t="s">
        <v>26</v>
      </c>
      <c r="C22" t="s">
        <v>25</v>
      </c>
      <c r="D22">
        <v>60</v>
      </c>
      <c r="E22">
        <f t="shared" si="5"/>
        <v>10.799999999999999</v>
      </c>
      <c r="F22">
        <f t="shared" si="6"/>
        <v>70.8</v>
      </c>
      <c r="G22">
        <v>4000</v>
      </c>
      <c r="H22">
        <f t="shared" si="7"/>
        <v>720</v>
      </c>
      <c r="I22">
        <f t="shared" si="8"/>
        <v>4720</v>
      </c>
      <c r="J22" t="s">
        <v>23</v>
      </c>
    </row>
    <row r="24" spans="1:10" x14ac:dyDescent="0.3">
      <c r="A24" s="1">
        <v>6</v>
      </c>
      <c r="B24" t="s">
        <v>27</v>
      </c>
    </row>
    <row r="25" spans="1:10" x14ac:dyDescent="0.3">
      <c r="B25">
        <v>50</v>
      </c>
      <c r="C25" t="s">
        <v>22</v>
      </c>
      <c r="D25">
        <v>4</v>
      </c>
      <c r="E25">
        <f>D25*18%</f>
        <v>0.72</v>
      </c>
      <c r="F25">
        <f>E25+D25</f>
        <v>4.72</v>
      </c>
      <c r="G25">
        <v>30000</v>
      </c>
      <c r="H25">
        <f>G25*18%</f>
        <v>5400</v>
      </c>
      <c r="I25">
        <f>H25+G25</f>
        <v>35400</v>
      </c>
      <c r="J25" t="s">
        <v>23</v>
      </c>
    </row>
    <row r="26" spans="1:10" x14ac:dyDescent="0.3">
      <c r="B26">
        <v>100</v>
      </c>
      <c r="C26" t="s">
        <v>24</v>
      </c>
      <c r="D26">
        <v>4</v>
      </c>
      <c r="E26">
        <f t="shared" ref="E26:E31" si="9">D26*18%</f>
        <v>0.72</v>
      </c>
      <c r="F26">
        <f t="shared" ref="F26:F31" si="10">E26+D26</f>
        <v>4.72</v>
      </c>
      <c r="G26">
        <v>30000</v>
      </c>
      <c r="H26">
        <f t="shared" ref="H26:H31" si="11">G26*18%</f>
        <v>5400</v>
      </c>
      <c r="I26">
        <f t="shared" ref="I26:I31" si="12">H26+G26</f>
        <v>35400</v>
      </c>
      <c r="J26" t="s">
        <v>23</v>
      </c>
    </row>
    <row r="27" spans="1:10" x14ac:dyDescent="0.3">
      <c r="B27">
        <v>250</v>
      </c>
      <c r="C27" t="s">
        <v>25</v>
      </c>
      <c r="D27">
        <v>3.5</v>
      </c>
      <c r="E27">
        <f t="shared" si="9"/>
        <v>0.63</v>
      </c>
      <c r="F27">
        <f t="shared" si="10"/>
        <v>4.13</v>
      </c>
      <c r="G27">
        <v>30000</v>
      </c>
      <c r="H27">
        <f t="shared" si="11"/>
        <v>5400</v>
      </c>
      <c r="I27">
        <f t="shared" si="12"/>
        <v>35400</v>
      </c>
      <c r="J27" t="s">
        <v>23</v>
      </c>
    </row>
    <row r="28" spans="1:10" x14ac:dyDescent="0.3">
      <c r="B28">
        <v>500</v>
      </c>
      <c r="C28" t="s">
        <v>25</v>
      </c>
      <c r="D28">
        <v>3</v>
      </c>
      <c r="E28">
        <f t="shared" si="9"/>
        <v>0.54</v>
      </c>
      <c r="F28">
        <f t="shared" si="10"/>
        <v>3.54</v>
      </c>
      <c r="G28">
        <v>30000</v>
      </c>
      <c r="H28">
        <f t="shared" si="11"/>
        <v>5400</v>
      </c>
      <c r="I28">
        <f t="shared" si="12"/>
        <v>35400</v>
      </c>
      <c r="J28" t="s">
        <v>23</v>
      </c>
    </row>
    <row r="29" spans="1:10" x14ac:dyDescent="0.3">
      <c r="B29">
        <v>1000</v>
      </c>
      <c r="C29" t="s">
        <v>25</v>
      </c>
      <c r="D29">
        <v>3</v>
      </c>
      <c r="E29">
        <f t="shared" si="9"/>
        <v>0.54</v>
      </c>
      <c r="F29">
        <f t="shared" si="10"/>
        <v>3.54</v>
      </c>
      <c r="G29">
        <v>30000</v>
      </c>
      <c r="H29">
        <f t="shared" si="11"/>
        <v>5400</v>
      </c>
      <c r="I29">
        <f t="shared" si="12"/>
        <v>35400</v>
      </c>
      <c r="J29" t="s">
        <v>23</v>
      </c>
    </row>
    <row r="30" spans="1:10" x14ac:dyDescent="0.3">
      <c r="B30">
        <v>5000</v>
      </c>
      <c r="C30" t="s">
        <v>25</v>
      </c>
      <c r="D30">
        <v>3</v>
      </c>
      <c r="E30">
        <f t="shared" si="9"/>
        <v>0.54</v>
      </c>
      <c r="F30">
        <f t="shared" si="10"/>
        <v>3.54</v>
      </c>
      <c r="G30">
        <v>30000</v>
      </c>
      <c r="H30">
        <f t="shared" si="11"/>
        <v>5400</v>
      </c>
      <c r="I30">
        <f t="shared" si="12"/>
        <v>35400</v>
      </c>
      <c r="J30" t="s">
        <v>23</v>
      </c>
    </row>
    <row r="31" spans="1:10" x14ac:dyDescent="0.3">
      <c r="B31" s="6" t="s">
        <v>26</v>
      </c>
      <c r="C31" t="s">
        <v>25</v>
      </c>
      <c r="D31">
        <v>3</v>
      </c>
      <c r="E31">
        <f t="shared" si="9"/>
        <v>0.54</v>
      </c>
      <c r="F31">
        <f t="shared" si="10"/>
        <v>3.54</v>
      </c>
      <c r="G31">
        <v>30000</v>
      </c>
      <c r="H31">
        <f t="shared" si="11"/>
        <v>5400</v>
      </c>
      <c r="I31">
        <f t="shared" si="12"/>
        <v>35400</v>
      </c>
      <c r="J31" t="s">
        <v>23</v>
      </c>
    </row>
    <row r="33" spans="2:7" x14ac:dyDescent="0.3">
      <c r="B33" t="s">
        <v>28</v>
      </c>
    </row>
    <row r="34" spans="2:7" x14ac:dyDescent="0.3">
      <c r="B34" t="s">
        <v>29</v>
      </c>
    </row>
    <row r="35" spans="2:7" x14ac:dyDescent="0.3">
      <c r="B35" t="s">
        <v>9</v>
      </c>
      <c r="C35">
        <v>9000</v>
      </c>
      <c r="D35">
        <f>C35*18%</f>
        <v>1620</v>
      </c>
      <c r="E35">
        <f>D35+C35</f>
        <v>10620</v>
      </c>
    </row>
    <row r="36" spans="2:7" x14ac:dyDescent="0.3">
      <c r="B36" t="s">
        <v>13</v>
      </c>
      <c r="C36">
        <v>18000</v>
      </c>
      <c r="D36">
        <f>C36*18%</f>
        <v>3240</v>
      </c>
      <c r="E36">
        <f>D36+C36</f>
        <v>21240</v>
      </c>
    </row>
    <row r="37" spans="2:7" x14ac:dyDescent="0.3">
      <c r="B37" t="s">
        <v>30</v>
      </c>
      <c r="C37">
        <v>25</v>
      </c>
      <c r="D37">
        <f>C37*18%</f>
        <v>4.5</v>
      </c>
      <c r="E37">
        <f>D37+C37</f>
        <v>29.5</v>
      </c>
      <c r="F37" t="s">
        <v>31</v>
      </c>
      <c r="G37" t="s">
        <v>32</v>
      </c>
    </row>
    <row r="38" spans="2:7" x14ac:dyDescent="0.3">
      <c r="B38" t="s">
        <v>33</v>
      </c>
    </row>
    <row r="39" spans="2:7" x14ac:dyDescent="0.3">
      <c r="B39" t="s">
        <v>34</v>
      </c>
      <c r="C39">
        <v>10000</v>
      </c>
      <c r="D39" t="s">
        <v>35</v>
      </c>
      <c r="E39" t="s">
        <v>36</v>
      </c>
      <c r="F39">
        <v>10000</v>
      </c>
      <c r="G39" t="s">
        <v>37</v>
      </c>
    </row>
    <row r="40" spans="2:7" x14ac:dyDescent="0.3">
      <c r="B40" t="s">
        <v>38</v>
      </c>
      <c r="C40">
        <v>2</v>
      </c>
      <c r="D40" t="s">
        <v>39</v>
      </c>
    </row>
    <row r="41" spans="2:7" x14ac:dyDescent="0.3">
      <c r="D41" t="s">
        <v>40</v>
      </c>
    </row>
    <row r="42" spans="2:7" x14ac:dyDescent="0.3">
      <c r="B42" t="s">
        <v>41</v>
      </c>
      <c r="C42">
        <v>5000</v>
      </c>
    </row>
    <row r="44" spans="2:7" x14ac:dyDescent="0.3">
      <c r="B44" t="s">
        <v>42</v>
      </c>
    </row>
    <row r="45" spans="2:7" ht="28.8" x14ac:dyDescent="0.3">
      <c r="B45" s="3" t="s">
        <v>43</v>
      </c>
      <c r="C45">
        <v>3000</v>
      </c>
    </row>
    <row r="46" spans="2:7" ht="86.4" x14ac:dyDescent="0.3">
      <c r="B46" s="3" t="s">
        <v>44</v>
      </c>
      <c r="C46" s="3" t="s">
        <v>45</v>
      </c>
      <c r="D46" s="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5787-3D2C-4BBA-8A59-B7B2556F821A}">
  <sheetPr>
    <pageSetUpPr fitToPage="1"/>
  </sheetPr>
  <dimension ref="A1:K31"/>
  <sheetViews>
    <sheetView zoomScale="70" zoomScaleNormal="70" workbookViewId="0">
      <selection activeCell="Q24" sqref="Q24"/>
    </sheetView>
  </sheetViews>
  <sheetFormatPr defaultRowHeight="14.4" x14ac:dyDescent="0.3"/>
  <cols>
    <col min="1" max="1" width="6.6640625" style="4" bestFit="1" customWidth="1"/>
    <col min="2" max="2" width="11.6640625" bestFit="1" customWidth="1"/>
    <col min="3" max="3" width="11.44140625" customWidth="1"/>
    <col min="4" max="4" width="13.33203125" bestFit="1" customWidth="1"/>
    <col min="5" max="5" width="12.6640625" customWidth="1"/>
    <col min="6" max="6" width="18.6640625" customWidth="1"/>
    <col min="7" max="7" width="16.44140625" style="3" customWidth="1"/>
    <col min="8" max="8" width="12.77734375" bestFit="1" customWidth="1"/>
    <col min="10" max="10" width="16.33203125" bestFit="1" customWidth="1"/>
    <col min="11" max="11" width="17.6640625" customWidth="1"/>
  </cols>
  <sheetData>
    <row r="1" spans="1:11" s="19" customFormat="1" ht="28.8" x14ac:dyDescent="0.3">
      <c r="A1" s="12" t="s">
        <v>0</v>
      </c>
      <c r="B1" s="12" t="s">
        <v>1</v>
      </c>
      <c r="C1" s="28" t="s">
        <v>2</v>
      </c>
      <c r="D1" s="29"/>
      <c r="E1" s="28" t="s">
        <v>3</v>
      </c>
      <c r="F1" s="29"/>
      <c r="G1" s="15" t="s">
        <v>48</v>
      </c>
      <c r="H1" s="12"/>
      <c r="I1" s="25" t="s">
        <v>6</v>
      </c>
      <c r="J1" s="25"/>
      <c r="K1" s="25"/>
    </row>
    <row r="2" spans="1:11" s="11" customFormat="1" x14ac:dyDescent="0.3">
      <c r="A2" s="23"/>
      <c r="B2" s="13"/>
      <c r="C2" s="13" t="s">
        <v>7</v>
      </c>
      <c r="D2" s="13" t="s">
        <v>8</v>
      </c>
      <c r="E2" s="13" t="s">
        <v>7</v>
      </c>
      <c r="F2" s="13" t="s">
        <v>8</v>
      </c>
      <c r="G2" s="17"/>
      <c r="H2" s="13"/>
      <c r="I2" s="13"/>
      <c r="J2" s="13"/>
      <c r="K2" s="13"/>
    </row>
    <row r="3" spans="1:11" s="11" customFormat="1" x14ac:dyDescent="0.3">
      <c r="A3" s="24">
        <v>1</v>
      </c>
      <c r="B3" s="20" t="s">
        <v>9</v>
      </c>
      <c r="C3" s="21" t="s">
        <v>10</v>
      </c>
      <c r="D3" s="16" t="s">
        <v>11</v>
      </c>
      <c r="E3" s="16">
        <v>7000</v>
      </c>
      <c r="F3" s="16">
        <v>5000</v>
      </c>
      <c r="G3" s="22">
        <v>5</v>
      </c>
      <c r="H3" s="16"/>
      <c r="I3" s="26" t="s">
        <v>12</v>
      </c>
      <c r="J3" s="26"/>
      <c r="K3" s="26"/>
    </row>
    <row r="4" spans="1:11" ht="57" customHeight="1" x14ac:dyDescent="0.3">
      <c r="A4" s="24">
        <f>A3+1</f>
        <v>2</v>
      </c>
      <c r="B4" s="20" t="s">
        <v>13</v>
      </c>
      <c r="C4" s="21" t="s">
        <v>10</v>
      </c>
      <c r="D4" s="16" t="s">
        <v>11</v>
      </c>
      <c r="E4" s="16">
        <v>15000</v>
      </c>
      <c r="F4" s="16">
        <v>10000</v>
      </c>
      <c r="G4" s="22">
        <v>5</v>
      </c>
      <c r="H4" s="16"/>
      <c r="I4" s="27" t="s">
        <v>14</v>
      </c>
      <c r="J4" s="27"/>
      <c r="K4" s="27"/>
    </row>
    <row r="5" spans="1:11" x14ac:dyDescent="0.3">
      <c r="A5" s="24">
        <f>A4+1</f>
        <v>3</v>
      </c>
      <c r="B5" s="14" t="s">
        <v>15</v>
      </c>
      <c r="C5" s="14"/>
      <c r="D5" s="14"/>
      <c r="E5" s="14"/>
      <c r="F5" s="14"/>
      <c r="G5" s="18"/>
      <c r="H5" s="14"/>
      <c r="I5" s="14"/>
      <c r="J5" s="14"/>
      <c r="K5" s="14"/>
    </row>
    <row r="6" spans="1:11" s="4" customFormat="1" ht="28.8" x14ac:dyDescent="0.3">
      <c r="A6" s="12">
        <f>A5+1</f>
        <v>4</v>
      </c>
      <c r="B6" s="12" t="s">
        <v>9</v>
      </c>
      <c r="C6" s="15" t="s">
        <v>16</v>
      </c>
      <c r="D6" s="15" t="s">
        <v>17</v>
      </c>
      <c r="E6" s="12" t="s">
        <v>18</v>
      </c>
      <c r="F6" s="15" t="s">
        <v>19</v>
      </c>
      <c r="G6" s="15" t="s">
        <v>20</v>
      </c>
      <c r="H6" s="12" t="s">
        <v>18</v>
      </c>
      <c r="I6" s="12"/>
      <c r="J6" s="15" t="s">
        <v>19</v>
      </c>
      <c r="K6" s="15" t="s">
        <v>21</v>
      </c>
    </row>
    <row r="7" spans="1:11" x14ac:dyDescent="0.3">
      <c r="A7" s="24"/>
      <c r="B7" s="14">
        <v>50</v>
      </c>
      <c r="C7" s="14" t="s">
        <v>22</v>
      </c>
      <c r="D7" s="14">
        <v>45</v>
      </c>
      <c r="E7" s="14">
        <f t="shared" ref="E7:E13" si="0">D7*18%</f>
        <v>8.1</v>
      </c>
      <c r="F7" s="14">
        <f t="shared" ref="F7:F13" si="1">E7+D7</f>
        <v>53.1</v>
      </c>
      <c r="G7" s="18">
        <v>5000</v>
      </c>
      <c r="H7" s="14">
        <f t="shared" ref="H7:H13" si="2">G7*18%</f>
        <v>900</v>
      </c>
      <c r="I7" s="14"/>
      <c r="J7" s="14">
        <f t="shared" ref="J7:J13" si="3">H7+G7</f>
        <v>5900</v>
      </c>
      <c r="K7" s="14" t="s">
        <v>23</v>
      </c>
    </row>
    <row r="8" spans="1:11" x14ac:dyDescent="0.3">
      <c r="A8" s="24"/>
      <c r="B8" s="14">
        <v>100</v>
      </c>
      <c r="C8" s="14" t="s">
        <v>24</v>
      </c>
      <c r="D8" s="14">
        <v>40</v>
      </c>
      <c r="E8" s="14">
        <f t="shared" si="0"/>
        <v>7.1999999999999993</v>
      </c>
      <c r="F8" s="14">
        <f t="shared" si="1"/>
        <v>47.2</v>
      </c>
      <c r="G8" s="18">
        <v>2500</v>
      </c>
      <c r="H8" s="14">
        <f t="shared" si="2"/>
        <v>450</v>
      </c>
      <c r="I8" s="14"/>
      <c r="J8" s="14">
        <f t="shared" si="3"/>
        <v>2950</v>
      </c>
      <c r="K8" s="14" t="s">
        <v>23</v>
      </c>
    </row>
    <row r="9" spans="1:11" x14ac:dyDescent="0.3">
      <c r="A9" s="24"/>
      <c r="B9" s="14">
        <v>250</v>
      </c>
      <c r="C9" s="14" t="s">
        <v>25</v>
      </c>
      <c r="D9" s="14">
        <v>35</v>
      </c>
      <c r="E9" s="14">
        <f t="shared" si="0"/>
        <v>6.3</v>
      </c>
      <c r="F9" s="14">
        <f t="shared" si="1"/>
        <v>41.3</v>
      </c>
      <c r="G9" s="18">
        <v>2500</v>
      </c>
      <c r="H9" s="14">
        <f t="shared" si="2"/>
        <v>450</v>
      </c>
      <c r="I9" s="14"/>
      <c r="J9" s="14">
        <f t="shared" si="3"/>
        <v>2950</v>
      </c>
      <c r="K9" s="14" t="s">
        <v>23</v>
      </c>
    </row>
    <row r="10" spans="1:11" x14ac:dyDescent="0.3">
      <c r="A10" s="24"/>
      <c r="B10" s="14">
        <v>500</v>
      </c>
      <c r="C10" s="14" t="s">
        <v>25</v>
      </c>
      <c r="D10" s="14">
        <v>35</v>
      </c>
      <c r="E10" s="14">
        <f t="shared" si="0"/>
        <v>6.3</v>
      </c>
      <c r="F10" s="14">
        <f t="shared" si="1"/>
        <v>41.3</v>
      </c>
      <c r="G10" s="18">
        <v>2000</v>
      </c>
      <c r="H10" s="14">
        <f t="shared" si="2"/>
        <v>360</v>
      </c>
      <c r="I10" s="14"/>
      <c r="J10" s="14">
        <f t="shared" si="3"/>
        <v>2360</v>
      </c>
      <c r="K10" s="14" t="s">
        <v>23</v>
      </c>
    </row>
    <row r="11" spans="1:11" x14ac:dyDescent="0.3">
      <c r="A11" s="24"/>
      <c r="B11" s="14">
        <v>1000</v>
      </c>
      <c r="C11" s="14" t="s">
        <v>25</v>
      </c>
      <c r="D11" s="14">
        <v>35</v>
      </c>
      <c r="E11" s="14">
        <f t="shared" si="0"/>
        <v>6.3</v>
      </c>
      <c r="F11" s="14">
        <f t="shared" si="1"/>
        <v>41.3</v>
      </c>
      <c r="G11" s="18">
        <v>2000</v>
      </c>
      <c r="H11" s="14">
        <f t="shared" si="2"/>
        <v>360</v>
      </c>
      <c r="I11" s="14"/>
      <c r="J11" s="14">
        <f t="shared" si="3"/>
        <v>2360</v>
      </c>
      <c r="K11" s="14" t="s">
        <v>23</v>
      </c>
    </row>
    <row r="12" spans="1:11" x14ac:dyDescent="0.3">
      <c r="A12" s="24"/>
      <c r="B12" s="14">
        <v>5000</v>
      </c>
      <c r="C12" s="14" t="s">
        <v>25</v>
      </c>
      <c r="D12" s="14">
        <v>35</v>
      </c>
      <c r="E12" s="14">
        <f t="shared" si="0"/>
        <v>6.3</v>
      </c>
      <c r="F12" s="14">
        <f t="shared" si="1"/>
        <v>41.3</v>
      </c>
      <c r="G12" s="18">
        <v>2000</v>
      </c>
      <c r="H12" s="14">
        <f t="shared" si="2"/>
        <v>360</v>
      </c>
      <c r="I12" s="14"/>
      <c r="J12" s="14">
        <f t="shared" si="3"/>
        <v>2360</v>
      </c>
      <c r="K12" s="14" t="s">
        <v>23</v>
      </c>
    </row>
    <row r="13" spans="1:11" x14ac:dyDescent="0.3">
      <c r="A13" s="24"/>
      <c r="B13" s="16" t="s">
        <v>26</v>
      </c>
      <c r="C13" s="14" t="s">
        <v>25</v>
      </c>
      <c r="D13" s="14">
        <v>30</v>
      </c>
      <c r="E13" s="14">
        <f t="shared" si="0"/>
        <v>5.3999999999999995</v>
      </c>
      <c r="F13" s="14">
        <f t="shared" si="1"/>
        <v>35.4</v>
      </c>
      <c r="G13" s="18">
        <v>2000</v>
      </c>
      <c r="H13" s="14">
        <f t="shared" si="2"/>
        <v>360</v>
      </c>
      <c r="I13" s="14"/>
      <c r="J13" s="14">
        <f t="shared" si="3"/>
        <v>2360</v>
      </c>
      <c r="K13" s="14" t="s">
        <v>23</v>
      </c>
    </row>
    <row r="14" spans="1:11" x14ac:dyDescent="0.3">
      <c r="A14" s="24"/>
      <c r="B14" s="16"/>
      <c r="C14" s="14"/>
      <c r="D14" s="14"/>
      <c r="E14" s="14"/>
      <c r="F14" s="14"/>
      <c r="G14" s="18"/>
      <c r="H14" s="14"/>
      <c r="I14" s="14"/>
      <c r="J14" s="14"/>
      <c r="K14" s="14"/>
    </row>
    <row r="15" spans="1:11" x14ac:dyDescent="0.3">
      <c r="A15" s="24">
        <f>A6+1</f>
        <v>5</v>
      </c>
      <c r="B15" s="14" t="s">
        <v>13</v>
      </c>
      <c r="C15" s="14"/>
      <c r="D15" s="14"/>
      <c r="E15" s="14"/>
      <c r="F15" s="14"/>
      <c r="G15" s="18"/>
      <c r="H15" s="14"/>
      <c r="I15" s="14"/>
      <c r="J15" s="14"/>
      <c r="K15" s="14"/>
    </row>
    <row r="16" spans="1:11" x14ac:dyDescent="0.3">
      <c r="A16" s="24"/>
      <c r="B16" s="14">
        <v>50</v>
      </c>
      <c r="C16" s="14" t="s">
        <v>22</v>
      </c>
      <c r="D16" s="14">
        <v>90</v>
      </c>
      <c r="E16" s="14">
        <f t="shared" ref="E16:E22" si="4">D16*18%</f>
        <v>16.2</v>
      </c>
      <c r="F16" s="14">
        <f t="shared" ref="F16:F22" si="5">E16+D16</f>
        <v>106.2</v>
      </c>
      <c r="G16" s="18">
        <v>10000</v>
      </c>
      <c r="H16" s="14">
        <f t="shared" ref="H16:H22" si="6">G16*18%</f>
        <v>1800</v>
      </c>
      <c r="I16" s="14"/>
      <c r="J16" s="14">
        <f t="shared" ref="J16:J22" si="7">H16+G16</f>
        <v>11800</v>
      </c>
      <c r="K16" s="14" t="s">
        <v>23</v>
      </c>
    </row>
    <row r="17" spans="1:11" x14ac:dyDescent="0.3">
      <c r="A17" s="24"/>
      <c r="B17" s="14">
        <v>100</v>
      </c>
      <c r="C17" s="14" t="s">
        <v>24</v>
      </c>
      <c r="D17" s="14">
        <v>80</v>
      </c>
      <c r="E17" s="14">
        <f t="shared" si="4"/>
        <v>14.399999999999999</v>
      </c>
      <c r="F17" s="14">
        <f t="shared" si="5"/>
        <v>94.4</v>
      </c>
      <c r="G17" s="18">
        <v>5000</v>
      </c>
      <c r="H17" s="14">
        <f t="shared" si="6"/>
        <v>900</v>
      </c>
      <c r="I17" s="14"/>
      <c r="J17" s="14">
        <f t="shared" si="7"/>
        <v>5900</v>
      </c>
      <c r="K17" s="14" t="s">
        <v>23</v>
      </c>
    </row>
    <row r="18" spans="1:11" x14ac:dyDescent="0.3">
      <c r="A18" s="24"/>
      <c r="B18" s="14">
        <v>250</v>
      </c>
      <c r="C18" s="14" t="s">
        <v>25</v>
      </c>
      <c r="D18" s="14">
        <v>70</v>
      </c>
      <c r="E18" s="14">
        <f t="shared" si="4"/>
        <v>12.6</v>
      </c>
      <c r="F18" s="14">
        <f t="shared" si="5"/>
        <v>82.6</v>
      </c>
      <c r="G18" s="18">
        <v>5000</v>
      </c>
      <c r="H18" s="14">
        <f t="shared" si="6"/>
        <v>900</v>
      </c>
      <c r="I18" s="14"/>
      <c r="J18" s="14">
        <f t="shared" si="7"/>
        <v>5900</v>
      </c>
      <c r="K18" s="14" t="s">
        <v>23</v>
      </c>
    </row>
    <row r="19" spans="1:11" x14ac:dyDescent="0.3">
      <c r="A19" s="24"/>
      <c r="B19" s="14">
        <v>500</v>
      </c>
      <c r="C19" s="14" t="s">
        <v>25</v>
      </c>
      <c r="D19" s="14">
        <v>70</v>
      </c>
      <c r="E19" s="14">
        <f t="shared" si="4"/>
        <v>12.6</v>
      </c>
      <c r="F19" s="14">
        <f t="shared" si="5"/>
        <v>82.6</v>
      </c>
      <c r="G19" s="18">
        <v>4000</v>
      </c>
      <c r="H19" s="14">
        <f t="shared" si="6"/>
        <v>720</v>
      </c>
      <c r="I19" s="14"/>
      <c r="J19" s="14">
        <f t="shared" si="7"/>
        <v>4720</v>
      </c>
      <c r="K19" s="14" t="s">
        <v>23</v>
      </c>
    </row>
    <row r="20" spans="1:11" x14ac:dyDescent="0.3">
      <c r="A20" s="24"/>
      <c r="B20" s="14">
        <v>1000</v>
      </c>
      <c r="C20" s="14" t="s">
        <v>25</v>
      </c>
      <c r="D20" s="14">
        <v>70</v>
      </c>
      <c r="E20" s="14">
        <f t="shared" si="4"/>
        <v>12.6</v>
      </c>
      <c r="F20" s="14">
        <f t="shared" si="5"/>
        <v>82.6</v>
      </c>
      <c r="G20" s="18">
        <v>4000</v>
      </c>
      <c r="H20" s="14">
        <f t="shared" si="6"/>
        <v>720</v>
      </c>
      <c r="I20" s="14"/>
      <c r="J20" s="14">
        <f t="shared" si="7"/>
        <v>4720</v>
      </c>
      <c r="K20" s="14" t="s">
        <v>23</v>
      </c>
    </row>
    <row r="21" spans="1:11" x14ac:dyDescent="0.3">
      <c r="A21" s="24"/>
      <c r="B21" s="14">
        <v>5000</v>
      </c>
      <c r="C21" s="14" t="s">
        <v>25</v>
      </c>
      <c r="D21" s="14">
        <v>70</v>
      </c>
      <c r="E21" s="14">
        <f t="shared" si="4"/>
        <v>12.6</v>
      </c>
      <c r="F21" s="14">
        <f t="shared" si="5"/>
        <v>82.6</v>
      </c>
      <c r="G21" s="18">
        <v>4000</v>
      </c>
      <c r="H21" s="14">
        <f t="shared" si="6"/>
        <v>720</v>
      </c>
      <c r="I21" s="14"/>
      <c r="J21" s="14">
        <f t="shared" si="7"/>
        <v>4720</v>
      </c>
      <c r="K21" s="14" t="s">
        <v>23</v>
      </c>
    </row>
    <row r="22" spans="1:11" x14ac:dyDescent="0.3">
      <c r="A22" s="24"/>
      <c r="B22" s="16" t="s">
        <v>26</v>
      </c>
      <c r="C22" s="14" t="s">
        <v>25</v>
      </c>
      <c r="D22" s="14">
        <v>60</v>
      </c>
      <c r="E22" s="14">
        <f t="shared" si="4"/>
        <v>10.799999999999999</v>
      </c>
      <c r="F22" s="14">
        <f t="shared" si="5"/>
        <v>70.8</v>
      </c>
      <c r="G22" s="18">
        <v>4000</v>
      </c>
      <c r="H22" s="14">
        <f t="shared" si="6"/>
        <v>720</v>
      </c>
      <c r="I22" s="14"/>
      <c r="J22" s="14">
        <f t="shared" si="7"/>
        <v>4720</v>
      </c>
      <c r="K22" s="14" t="s">
        <v>23</v>
      </c>
    </row>
    <row r="23" spans="1:11" x14ac:dyDescent="0.3">
      <c r="A23" s="24"/>
      <c r="B23" s="14"/>
      <c r="C23" s="14"/>
      <c r="D23" s="14"/>
      <c r="E23" s="14"/>
      <c r="F23" s="14"/>
      <c r="G23" s="18"/>
      <c r="H23" s="14"/>
      <c r="I23" s="14"/>
      <c r="J23" s="14"/>
      <c r="K23" s="14"/>
    </row>
    <row r="24" spans="1:11" x14ac:dyDescent="0.3">
      <c r="A24" s="24">
        <v>6</v>
      </c>
      <c r="B24" s="14" t="s">
        <v>27</v>
      </c>
      <c r="C24" s="14"/>
      <c r="D24" s="14"/>
      <c r="E24" s="14"/>
      <c r="F24" s="14"/>
      <c r="G24" s="18"/>
      <c r="H24" s="14"/>
      <c r="I24" s="14"/>
      <c r="J24" s="14"/>
      <c r="K24" s="14"/>
    </row>
    <row r="25" spans="1:11" x14ac:dyDescent="0.3">
      <c r="A25" s="24"/>
      <c r="B25" s="14">
        <v>50</v>
      </c>
      <c r="C25" s="14" t="s">
        <v>22</v>
      </c>
      <c r="D25" s="14">
        <v>4</v>
      </c>
      <c r="E25" s="14">
        <f t="shared" ref="E25:E31" si="8">D25*18%</f>
        <v>0.72</v>
      </c>
      <c r="F25" s="14">
        <f t="shared" ref="F25:F31" si="9">E25+D25</f>
        <v>4.72</v>
      </c>
      <c r="G25" s="18">
        <v>30000</v>
      </c>
      <c r="H25" s="14">
        <f t="shared" ref="H25:H31" si="10">G25*18%</f>
        <v>5400</v>
      </c>
      <c r="I25" s="14"/>
      <c r="J25" s="14">
        <f t="shared" ref="J25:J31" si="11">H25+G25</f>
        <v>35400</v>
      </c>
      <c r="K25" s="14" t="s">
        <v>23</v>
      </c>
    </row>
    <row r="26" spans="1:11" x14ac:dyDescent="0.3">
      <c r="A26" s="24"/>
      <c r="B26" s="14">
        <v>100</v>
      </c>
      <c r="C26" s="14" t="s">
        <v>24</v>
      </c>
      <c r="D26" s="14">
        <v>4</v>
      </c>
      <c r="E26" s="14">
        <f t="shared" si="8"/>
        <v>0.72</v>
      </c>
      <c r="F26" s="14">
        <f t="shared" si="9"/>
        <v>4.72</v>
      </c>
      <c r="G26" s="18">
        <v>30000</v>
      </c>
      <c r="H26" s="14">
        <f t="shared" si="10"/>
        <v>5400</v>
      </c>
      <c r="I26" s="14"/>
      <c r="J26" s="14">
        <f t="shared" si="11"/>
        <v>35400</v>
      </c>
      <c r="K26" s="14" t="s">
        <v>23</v>
      </c>
    </row>
    <row r="27" spans="1:11" x14ac:dyDescent="0.3">
      <c r="A27" s="24"/>
      <c r="B27" s="14">
        <v>250</v>
      </c>
      <c r="C27" s="14" t="s">
        <v>25</v>
      </c>
      <c r="D27" s="14">
        <v>3.5</v>
      </c>
      <c r="E27" s="14">
        <f t="shared" si="8"/>
        <v>0.63</v>
      </c>
      <c r="F27" s="14">
        <f t="shared" si="9"/>
        <v>4.13</v>
      </c>
      <c r="G27" s="18">
        <v>30000</v>
      </c>
      <c r="H27" s="14">
        <f t="shared" si="10"/>
        <v>5400</v>
      </c>
      <c r="I27" s="14"/>
      <c r="J27" s="14">
        <f t="shared" si="11"/>
        <v>35400</v>
      </c>
      <c r="K27" s="14" t="s">
        <v>23</v>
      </c>
    </row>
    <row r="28" spans="1:11" x14ac:dyDescent="0.3">
      <c r="A28" s="24"/>
      <c r="B28" s="14">
        <v>500</v>
      </c>
      <c r="C28" s="14" t="s">
        <v>25</v>
      </c>
      <c r="D28" s="14">
        <v>3</v>
      </c>
      <c r="E28" s="14">
        <f t="shared" si="8"/>
        <v>0.54</v>
      </c>
      <c r="F28" s="14">
        <f t="shared" si="9"/>
        <v>3.54</v>
      </c>
      <c r="G28" s="18">
        <v>30000</v>
      </c>
      <c r="H28" s="14">
        <f t="shared" si="10"/>
        <v>5400</v>
      </c>
      <c r="I28" s="14"/>
      <c r="J28" s="14">
        <f t="shared" si="11"/>
        <v>35400</v>
      </c>
      <c r="K28" s="14" t="s">
        <v>23</v>
      </c>
    </row>
    <row r="29" spans="1:11" x14ac:dyDescent="0.3">
      <c r="A29" s="24"/>
      <c r="B29" s="14">
        <v>1000</v>
      </c>
      <c r="C29" s="14" t="s">
        <v>25</v>
      </c>
      <c r="D29" s="14">
        <v>3</v>
      </c>
      <c r="E29" s="14">
        <f t="shared" si="8"/>
        <v>0.54</v>
      </c>
      <c r="F29" s="14">
        <f t="shared" si="9"/>
        <v>3.54</v>
      </c>
      <c r="G29" s="18">
        <v>30000</v>
      </c>
      <c r="H29" s="14">
        <f t="shared" si="10"/>
        <v>5400</v>
      </c>
      <c r="I29" s="14"/>
      <c r="J29" s="14">
        <f t="shared" si="11"/>
        <v>35400</v>
      </c>
      <c r="K29" s="14" t="s">
        <v>23</v>
      </c>
    </row>
    <row r="30" spans="1:11" x14ac:dyDescent="0.3">
      <c r="A30" s="24"/>
      <c r="B30" s="14">
        <v>5000</v>
      </c>
      <c r="C30" s="14" t="s">
        <v>25</v>
      </c>
      <c r="D30" s="14">
        <v>3</v>
      </c>
      <c r="E30" s="14">
        <f t="shared" si="8"/>
        <v>0.54</v>
      </c>
      <c r="F30" s="14">
        <f t="shared" si="9"/>
        <v>3.54</v>
      </c>
      <c r="G30" s="18">
        <v>30000</v>
      </c>
      <c r="H30" s="14">
        <f t="shared" si="10"/>
        <v>5400</v>
      </c>
      <c r="I30" s="14"/>
      <c r="J30" s="14">
        <f t="shared" si="11"/>
        <v>35400</v>
      </c>
      <c r="K30" s="14" t="s">
        <v>23</v>
      </c>
    </row>
    <row r="31" spans="1:11" x14ac:dyDescent="0.3">
      <c r="A31" s="24"/>
      <c r="B31" s="16" t="s">
        <v>26</v>
      </c>
      <c r="C31" s="14" t="s">
        <v>25</v>
      </c>
      <c r="D31" s="14">
        <v>3</v>
      </c>
      <c r="E31" s="14">
        <f t="shared" si="8"/>
        <v>0.54</v>
      </c>
      <c r="F31" s="14">
        <f t="shared" si="9"/>
        <v>3.54</v>
      </c>
      <c r="G31" s="18">
        <v>30000</v>
      </c>
      <c r="H31" s="14">
        <f t="shared" si="10"/>
        <v>5400</v>
      </c>
      <c r="I31" s="14"/>
      <c r="J31" s="14">
        <f t="shared" si="11"/>
        <v>35400</v>
      </c>
      <c r="K31" s="14" t="s">
        <v>23</v>
      </c>
    </row>
  </sheetData>
  <mergeCells count="5">
    <mergeCell ref="I1:K1"/>
    <mergeCell ref="I3:K3"/>
    <mergeCell ref="I4:K4"/>
    <mergeCell ref="E1:F1"/>
    <mergeCell ref="C1:D1"/>
  </mergeCells>
  <pageMargins left="0.39" right="0.12" top="0.56000000000000005" bottom="0.25" header="0.3" footer="0.14000000000000001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13F3-142A-4D37-A183-B5F7779E857A}">
  <sheetPr>
    <pageSetUpPr fitToPage="1"/>
  </sheetPr>
  <dimension ref="A1:K31"/>
  <sheetViews>
    <sheetView tabSelected="1" topLeftCell="A8" zoomScale="85" zoomScaleNormal="85" workbookViewId="0">
      <selection activeCell="H34" sqref="H34"/>
    </sheetView>
  </sheetViews>
  <sheetFormatPr defaultRowHeight="14.4" x14ac:dyDescent="0.3"/>
  <cols>
    <col min="1" max="1" width="6.6640625" style="4" bestFit="1" customWidth="1"/>
    <col min="2" max="2" width="11.6640625" bestFit="1" customWidth="1"/>
    <col min="3" max="3" width="11.44140625" customWidth="1"/>
    <col min="4" max="4" width="13.33203125" bestFit="1" customWidth="1"/>
    <col min="5" max="5" width="12.6640625" customWidth="1"/>
    <col min="6" max="6" width="18.6640625" customWidth="1"/>
    <col min="7" max="7" width="16.44140625" style="3" customWidth="1"/>
    <col min="8" max="8" width="12.77734375" bestFit="1" customWidth="1"/>
    <col min="10" max="10" width="16.33203125" bestFit="1" customWidth="1"/>
    <col min="11" max="11" width="17.6640625" customWidth="1"/>
  </cols>
  <sheetData>
    <row r="1" spans="1:11" s="19" customFormat="1" ht="28.8" x14ac:dyDescent="0.3">
      <c r="A1" s="12" t="s">
        <v>0</v>
      </c>
      <c r="B1" s="12" t="s">
        <v>1</v>
      </c>
      <c r="C1" s="28" t="s">
        <v>2</v>
      </c>
      <c r="D1" s="29"/>
      <c r="E1" s="28" t="s">
        <v>3</v>
      </c>
      <c r="F1" s="29"/>
      <c r="G1" s="15" t="s">
        <v>48</v>
      </c>
      <c r="H1" s="12"/>
      <c r="I1" s="25" t="s">
        <v>6</v>
      </c>
      <c r="J1" s="25"/>
      <c r="K1" s="25"/>
    </row>
    <row r="2" spans="1:11" s="11" customFormat="1" x14ac:dyDescent="0.3">
      <c r="A2" s="23"/>
      <c r="B2" s="13"/>
      <c r="C2" s="13" t="s">
        <v>7</v>
      </c>
      <c r="D2" s="13" t="s">
        <v>8</v>
      </c>
      <c r="E2" s="13" t="s">
        <v>7</v>
      </c>
      <c r="F2" s="13" t="s">
        <v>8</v>
      </c>
      <c r="G2" s="17"/>
      <c r="H2" s="13"/>
      <c r="I2" s="13"/>
      <c r="J2" s="13"/>
      <c r="K2" s="13"/>
    </row>
    <row r="3" spans="1:11" s="11" customFormat="1" x14ac:dyDescent="0.3">
      <c r="A3" s="24">
        <v>1</v>
      </c>
      <c r="B3" s="20" t="s">
        <v>9</v>
      </c>
      <c r="C3" s="21" t="s">
        <v>10</v>
      </c>
      <c r="D3" s="16" t="s">
        <v>11</v>
      </c>
      <c r="E3" s="16">
        <v>7000</v>
      </c>
      <c r="F3" s="16">
        <v>5000</v>
      </c>
      <c r="G3" s="22">
        <v>5</v>
      </c>
      <c r="H3" s="16"/>
      <c r="I3" s="26" t="s">
        <v>12</v>
      </c>
      <c r="J3" s="26"/>
      <c r="K3" s="26"/>
    </row>
    <row r="4" spans="1:11" ht="57" customHeight="1" x14ac:dyDescent="0.3">
      <c r="A4" s="24">
        <f>A3+1</f>
        <v>2</v>
      </c>
      <c r="B4" s="20" t="s">
        <v>13</v>
      </c>
      <c r="C4" s="21" t="s">
        <v>10</v>
      </c>
      <c r="D4" s="16" t="s">
        <v>11</v>
      </c>
      <c r="E4" s="16">
        <v>15000</v>
      </c>
      <c r="F4" s="16">
        <v>10000</v>
      </c>
      <c r="G4" s="22">
        <v>5</v>
      </c>
      <c r="H4" s="16"/>
      <c r="I4" s="27" t="s">
        <v>14</v>
      </c>
      <c r="J4" s="27"/>
      <c r="K4" s="27"/>
    </row>
    <row r="5" spans="1:11" x14ac:dyDescent="0.3">
      <c r="A5" s="24">
        <f>A4+1</f>
        <v>3</v>
      </c>
      <c r="B5" s="14" t="s">
        <v>15</v>
      </c>
      <c r="C5" s="14"/>
      <c r="D5" s="14"/>
      <c r="E5" s="14"/>
      <c r="F5" s="14"/>
      <c r="G5" s="18"/>
      <c r="H5" s="14"/>
      <c r="I5" s="14"/>
      <c r="J5" s="14"/>
      <c r="K5" s="14"/>
    </row>
    <row r="6" spans="1:11" s="4" customFormat="1" ht="28.8" x14ac:dyDescent="0.3">
      <c r="A6" s="12">
        <f>A5+1</f>
        <v>4</v>
      </c>
      <c r="B6" s="12" t="s">
        <v>9</v>
      </c>
      <c r="C6" s="15" t="s">
        <v>16</v>
      </c>
      <c r="D6" s="15" t="s">
        <v>17</v>
      </c>
      <c r="E6" s="12" t="s">
        <v>18</v>
      </c>
      <c r="F6" s="15" t="s">
        <v>19</v>
      </c>
      <c r="G6" s="15" t="s">
        <v>20</v>
      </c>
      <c r="H6" s="12" t="s">
        <v>18</v>
      </c>
      <c r="I6" s="12"/>
      <c r="J6" s="15" t="s">
        <v>19</v>
      </c>
      <c r="K6" s="15" t="s">
        <v>21</v>
      </c>
    </row>
    <row r="7" spans="1:11" x14ac:dyDescent="0.3">
      <c r="A7" s="24"/>
      <c r="B7" s="14">
        <v>50</v>
      </c>
      <c r="C7" s="14" t="s">
        <v>22</v>
      </c>
      <c r="D7" s="14">
        <v>50</v>
      </c>
      <c r="E7" s="14">
        <f t="shared" ref="E7:E13" si="0">D7*18%</f>
        <v>9</v>
      </c>
      <c r="F7" s="14">
        <f t="shared" ref="F7:F13" si="1">E7+D7</f>
        <v>59</v>
      </c>
      <c r="G7" s="18">
        <v>5000</v>
      </c>
      <c r="H7" s="14">
        <f t="shared" ref="H7:H13" si="2">G7*18%</f>
        <v>900</v>
      </c>
      <c r="I7" s="14"/>
      <c r="J7" s="14">
        <f t="shared" ref="J7:J13" si="3">H7+G7</f>
        <v>5900</v>
      </c>
      <c r="K7" s="14" t="s">
        <v>23</v>
      </c>
    </row>
    <row r="8" spans="1:11" x14ac:dyDescent="0.3">
      <c r="A8" s="24"/>
      <c r="B8" s="14">
        <v>100</v>
      </c>
      <c r="C8" s="14" t="s">
        <v>24</v>
      </c>
      <c r="D8" s="14">
        <v>45</v>
      </c>
      <c r="E8" s="14">
        <f t="shared" si="0"/>
        <v>8.1</v>
      </c>
      <c r="F8" s="14">
        <f t="shared" si="1"/>
        <v>53.1</v>
      </c>
      <c r="G8" s="18">
        <v>2500</v>
      </c>
      <c r="H8" s="14">
        <f t="shared" si="2"/>
        <v>450</v>
      </c>
      <c r="I8" s="14"/>
      <c r="J8" s="14">
        <f t="shared" si="3"/>
        <v>2950</v>
      </c>
      <c r="K8" s="14" t="s">
        <v>23</v>
      </c>
    </row>
    <row r="9" spans="1:11" x14ac:dyDescent="0.3">
      <c r="A9" s="24"/>
      <c r="B9" s="14">
        <v>250</v>
      </c>
      <c r="C9" s="14" t="s">
        <v>25</v>
      </c>
      <c r="D9" s="14">
        <v>40</v>
      </c>
      <c r="E9" s="14">
        <f t="shared" si="0"/>
        <v>7.1999999999999993</v>
      </c>
      <c r="F9" s="14">
        <f t="shared" si="1"/>
        <v>47.2</v>
      </c>
      <c r="G9" s="18">
        <v>2500</v>
      </c>
      <c r="H9" s="14">
        <f t="shared" si="2"/>
        <v>450</v>
      </c>
      <c r="I9" s="14"/>
      <c r="J9" s="14">
        <f t="shared" si="3"/>
        <v>2950</v>
      </c>
      <c r="K9" s="14" t="s">
        <v>23</v>
      </c>
    </row>
    <row r="10" spans="1:11" x14ac:dyDescent="0.3">
      <c r="A10" s="24"/>
      <c r="B10" s="14">
        <v>500</v>
      </c>
      <c r="C10" s="14" t="s">
        <v>25</v>
      </c>
      <c r="D10" s="14">
        <v>40</v>
      </c>
      <c r="E10" s="14">
        <f t="shared" si="0"/>
        <v>7.1999999999999993</v>
      </c>
      <c r="F10" s="14">
        <f t="shared" si="1"/>
        <v>47.2</v>
      </c>
      <c r="G10" s="18">
        <v>2000</v>
      </c>
      <c r="H10" s="14">
        <f t="shared" si="2"/>
        <v>360</v>
      </c>
      <c r="I10" s="14"/>
      <c r="J10" s="14">
        <f t="shared" si="3"/>
        <v>2360</v>
      </c>
      <c r="K10" s="14" t="s">
        <v>23</v>
      </c>
    </row>
    <row r="11" spans="1:11" x14ac:dyDescent="0.3">
      <c r="A11" s="24"/>
      <c r="B11" s="14">
        <v>1000</v>
      </c>
      <c r="C11" s="14" t="s">
        <v>25</v>
      </c>
      <c r="D11" s="14">
        <v>40</v>
      </c>
      <c r="E11" s="14">
        <f t="shared" si="0"/>
        <v>7.1999999999999993</v>
      </c>
      <c r="F11" s="14">
        <f t="shared" si="1"/>
        <v>47.2</v>
      </c>
      <c r="G11" s="18">
        <v>2000</v>
      </c>
      <c r="H11" s="14">
        <f t="shared" si="2"/>
        <v>360</v>
      </c>
      <c r="I11" s="14"/>
      <c r="J11" s="14">
        <f t="shared" si="3"/>
        <v>2360</v>
      </c>
      <c r="K11" s="14" t="s">
        <v>23</v>
      </c>
    </row>
    <row r="12" spans="1:11" x14ac:dyDescent="0.3">
      <c r="A12" s="24"/>
      <c r="B12" s="14">
        <v>5000</v>
      </c>
      <c r="C12" s="14" t="s">
        <v>25</v>
      </c>
      <c r="D12" s="14">
        <v>40</v>
      </c>
      <c r="E12" s="14">
        <f t="shared" si="0"/>
        <v>7.1999999999999993</v>
      </c>
      <c r="F12" s="14">
        <f t="shared" si="1"/>
        <v>47.2</v>
      </c>
      <c r="G12" s="18">
        <v>2000</v>
      </c>
      <c r="H12" s="14">
        <f t="shared" si="2"/>
        <v>360</v>
      </c>
      <c r="I12" s="14"/>
      <c r="J12" s="14">
        <f t="shared" si="3"/>
        <v>2360</v>
      </c>
      <c r="K12" s="14" t="s">
        <v>23</v>
      </c>
    </row>
    <row r="13" spans="1:11" x14ac:dyDescent="0.3">
      <c r="A13" s="24"/>
      <c r="B13" s="16" t="s">
        <v>26</v>
      </c>
      <c r="C13" s="14" t="s">
        <v>25</v>
      </c>
      <c r="D13" s="14">
        <v>35</v>
      </c>
      <c r="E13" s="14">
        <f t="shared" si="0"/>
        <v>6.3</v>
      </c>
      <c r="F13" s="14">
        <f t="shared" si="1"/>
        <v>41.3</v>
      </c>
      <c r="G13" s="18">
        <v>2000</v>
      </c>
      <c r="H13" s="14">
        <f t="shared" si="2"/>
        <v>360</v>
      </c>
      <c r="I13" s="14"/>
      <c r="J13" s="14">
        <f t="shared" si="3"/>
        <v>2360</v>
      </c>
      <c r="K13" s="14" t="s">
        <v>23</v>
      </c>
    </row>
    <row r="14" spans="1:11" x14ac:dyDescent="0.3">
      <c r="A14" s="24"/>
      <c r="B14" s="16"/>
      <c r="C14" s="14"/>
      <c r="D14" s="14"/>
      <c r="E14" s="14"/>
      <c r="F14" s="14"/>
      <c r="G14" s="18"/>
      <c r="H14" s="14"/>
      <c r="I14" s="14"/>
      <c r="J14" s="14"/>
      <c r="K14" s="14"/>
    </row>
    <row r="15" spans="1:11" x14ac:dyDescent="0.3">
      <c r="A15" s="24">
        <f>A6+1</f>
        <v>5</v>
      </c>
      <c r="B15" s="14" t="s">
        <v>13</v>
      </c>
      <c r="C15" s="14"/>
      <c r="D15" s="14"/>
      <c r="E15" s="14"/>
      <c r="F15" s="14"/>
      <c r="G15" s="18"/>
      <c r="H15" s="14"/>
      <c r="I15" s="14"/>
      <c r="J15" s="14"/>
      <c r="K15" s="14"/>
    </row>
    <row r="16" spans="1:11" x14ac:dyDescent="0.3">
      <c r="A16" s="24"/>
      <c r="B16" s="14">
        <v>50</v>
      </c>
      <c r="C16" s="14" t="s">
        <v>22</v>
      </c>
      <c r="D16" s="14">
        <v>95</v>
      </c>
      <c r="E16" s="14">
        <f t="shared" ref="E16:E22" si="4">D16*18%</f>
        <v>17.099999999999998</v>
      </c>
      <c r="F16" s="14">
        <f t="shared" ref="F16:F22" si="5">E16+D16</f>
        <v>112.1</v>
      </c>
      <c r="G16" s="18">
        <v>10000</v>
      </c>
      <c r="H16" s="14">
        <f t="shared" ref="H16:H22" si="6">G16*18%</f>
        <v>1800</v>
      </c>
      <c r="I16" s="14"/>
      <c r="J16" s="14">
        <f t="shared" ref="J16:J22" si="7">H16+G16</f>
        <v>11800</v>
      </c>
      <c r="K16" s="14" t="s">
        <v>23</v>
      </c>
    </row>
    <row r="17" spans="1:11" x14ac:dyDescent="0.3">
      <c r="A17" s="24"/>
      <c r="B17" s="14">
        <v>100</v>
      </c>
      <c r="C17" s="14" t="s">
        <v>24</v>
      </c>
      <c r="D17" s="14">
        <v>90</v>
      </c>
      <c r="E17" s="14">
        <f t="shared" si="4"/>
        <v>16.2</v>
      </c>
      <c r="F17" s="14">
        <f t="shared" si="5"/>
        <v>106.2</v>
      </c>
      <c r="G17" s="18">
        <v>5000</v>
      </c>
      <c r="H17" s="14">
        <f t="shared" si="6"/>
        <v>900</v>
      </c>
      <c r="I17" s="14"/>
      <c r="J17" s="14">
        <f t="shared" si="7"/>
        <v>5900</v>
      </c>
      <c r="K17" s="14" t="s">
        <v>23</v>
      </c>
    </row>
    <row r="18" spans="1:11" x14ac:dyDescent="0.3">
      <c r="A18" s="24"/>
      <c r="B18" s="14">
        <v>250</v>
      </c>
      <c r="C18" s="14" t="s">
        <v>25</v>
      </c>
      <c r="D18" s="14">
        <v>80</v>
      </c>
      <c r="E18" s="14">
        <f t="shared" si="4"/>
        <v>14.399999999999999</v>
      </c>
      <c r="F18" s="14">
        <f t="shared" si="5"/>
        <v>94.4</v>
      </c>
      <c r="G18" s="18">
        <v>5000</v>
      </c>
      <c r="H18" s="14">
        <f t="shared" si="6"/>
        <v>900</v>
      </c>
      <c r="I18" s="14"/>
      <c r="J18" s="14">
        <f t="shared" si="7"/>
        <v>5900</v>
      </c>
      <c r="K18" s="14" t="s">
        <v>23</v>
      </c>
    </row>
    <row r="19" spans="1:11" x14ac:dyDescent="0.3">
      <c r="A19" s="24"/>
      <c r="B19" s="14">
        <v>500</v>
      </c>
      <c r="C19" s="14" t="s">
        <v>25</v>
      </c>
      <c r="D19" s="14">
        <v>80</v>
      </c>
      <c r="E19" s="14">
        <f t="shared" si="4"/>
        <v>14.399999999999999</v>
      </c>
      <c r="F19" s="14">
        <f t="shared" si="5"/>
        <v>94.4</v>
      </c>
      <c r="G19" s="18">
        <v>4000</v>
      </c>
      <c r="H19" s="14">
        <f t="shared" si="6"/>
        <v>720</v>
      </c>
      <c r="I19" s="14"/>
      <c r="J19" s="14">
        <f t="shared" si="7"/>
        <v>4720</v>
      </c>
      <c r="K19" s="14" t="s">
        <v>23</v>
      </c>
    </row>
    <row r="20" spans="1:11" x14ac:dyDescent="0.3">
      <c r="A20" s="24"/>
      <c r="B20" s="14">
        <v>1000</v>
      </c>
      <c r="C20" s="14" t="s">
        <v>25</v>
      </c>
      <c r="D20" s="14">
        <v>80</v>
      </c>
      <c r="E20" s="14">
        <f t="shared" si="4"/>
        <v>14.399999999999999</v>
      </c>
      <c r="F20" s="14">
        <f t="shared" si="5"/>
        <v>94.4</v>
      </c>
      <c r="G20" s="18">
        <v>4000</v>
      </c>
      <c r="H20" s="14">
        <f t="shared" si="6"/>
        <v>720</v>
      </c>
      <c r="I20" s="14"/>
      <c r="J20" s="14">
        <f t="shared" si="7"/>
        <v>4720</v>
      </c>
      <c r="K20" s="14" t="s">
        <v>23</v>
      </c>
    </row>
    <row r="21" spans="1:11" x14ac:dyDescent="0.3">
      <c r="A21" s="24"/>
      <c r="B21" s="14">
        <v>5000</v>
      </c>
      <c r="C21" s="14" t="s">
        <v>25</v>
      </c>
      <c r="D21" s="14">
        <v>80</v>
      </c>
      <c r="E21" s="14">
        <f t="shared" si="4"/>
        <v>14.399999999999999</v>
      </c>
      <c r="F21" s="14">
        <f t="shared" si="5"/>
        <v>94.4</v>
      </c>
      <c r="G21" s="18">
        <v>4000</v>
      </c>
      <c r="H21" s="14">
        <f t="shared" si="6"/>
        <v>720</v>
      </c>
      <c r="I21" s="14"/>
      <c r="J21" s="14">
        <f t="shared" si="7"/>
        <v>4720</v>
      </c>
      <c r="K21" s="14" t="s">
        <v>23</v>
      </c>
    </row>
    <row r="22" spans="1:11" x14ac:dyDescent="0.3">
      <c r="A22" s="24"/>
      <c r="B22" s="16" t="s">
        <v>26</v>
      </c>
      <c r="C22" s="14" t="s">
        <v>25</v>
      </c>
      <c r="D22" s="14">
        <v>70</v>
      </c>
      <c r="E22" s="14">
        <f t="shared" si="4"/>
        <v>12.6</v>
      </c>
      <c r="F22" s="14">
        <f t="shared" si="5"/>
        <v>82.6</v>
      </c>
      <c r="G22" s="18">
        <v>4000</v>
      </c>
      <c r="H22" s="14">
        <f t="shared" si="6"/>
        <v>720</v>
      </c>
      <c r="I22" s="14"/>
      <c r="J22" s="14">
        <f t="shared" si="7"/>
        <v>4720</v>
      </c>
      <c r="K22" s="14" t="s">
        <v>23</v>
      </c>
    </row>
    <row r="23" spans="1:11" x14ac:dyDescent="0.3">
      <c r="A23" s="24"/>
      <c r="B23" s="14"/>
      <c r="C23" s="14"/>
      <c r="D23" s="14"/>
      <c r="E23" s="14"/>
      <c r="F23" s="14"/>
      <c r="G23" s="18"/>
      <c r="H23" s="14"/>
      <c r="I23" s="14"/>
      <c r="J23" s="14"/>
      <c r="K23" s="14"/>
    </row>
    <row r="24" spans="1:11" x14ac:dyDescent="0.3">
      <c r="A24" s="24">
        <v>6</v>
      </c>
      <c r="B24" s="14" t="s">
        <v>27</v>
      </c>
      <c r="C24" s="14"/>
      <c r="D24" s="14"/>
      <c r="E24" s="14"/>
      <c r="F24" s="14"/>
      <c r="G24" s="18"/>
      <c r="H24" s="14"/>
      <c r="I24" s="14"/>
      <c r="J24" s="14"/>
      <c r="K24" s="14"/>
    </row>
    <row r="25" spans="1:11" x14ac:dyDescent="0.3">
      <c r="A25" s="24"/>
      <c r="B25" s="14">
        <v>50</v>
      </c>
      <c r="C25" s="14" t="s">
        <v>22</v>
      </c>
      <c r="D25" s="14">
        <v>5</v>
      </c>
      <c r="E25" s="14">
        <f t="shared" ref="E25:E31" si="8">D25*18%</f>
        <v>0.89999999999999991</v>
      </c>
      <c r="F25" s="14">
        <f t="shared" ref="F25:F31" si="9">E25+D25</f>
        <v>5.9</v>
      </c>
      <c r="G25" s="18">
        <v>30000</v>
      </c>
      <c r="H25" s="14">
        <f t="shared" ref="H25:H31" si="10">G25*18%</f>
        <v>5400</v>
      </c>
      <c r="I25" s="14"/>
      <c r="J25" s="14">
        <f t="shared" ref="J25:J31" si="11">H25+G25</f>
        <v>35400</v>
      </c>
      <c r="K25" s="14" t="s">
        <v>23</v>
      </c>
    </row>
    <row r="26" spans="1:11" x14ac:dyDescent="0.3">
      <c r="A26" s="24"/>
      <c r="B26" s="14">
        <v>100</v>
      </c>
      <c r="C26" s="14" t="s">
        <v>24</v>
      </c>
      <c r="D26" s="14">
        <v>5</v>
      </c>
      <c r="E26" s="14">
        <f t="shared" si="8"/>
        <v>0.89999999999999991</v>
      </c>
      <c r="F26" s="14">
        <f t="shared" si="9"/>
        <v>5.9</v>
      </c>
      <c r="G26" s="18">
        <v>30000</v>
      </c>
      <c r="H26" s="14">
        <f t="shared" si="10"/>
        <v>5400</v>
      </c>
      <c r="I26" s="14"/>
      <c r="J26" s="14">
        <f t="shared" si="11"/>
        <v>35400</v>
      </c>
      <c r="K26" s="14" t="s">
        <v>23</v>
      </c>
    </row>
    <row r="27" spans="1:11" x14ac:dyDescent="0.3">
      <c r="A27" s="24"/>
      <c r="B27" s="14">
        <v>250</v>
      </c>
      <c r="C27" s="14" t="s">
        <v>25</v>
      </c>
      <c r="D27" s="14">
        <v>4</v>
      </c>
      <c r="E27" s="14">
        <f t="shared" si="8"/>
        <v>0.72</v>
      </c>
      <c r="F27" s="14">
        <f t="shared" si="9"/>
        <v>4.72</v>
      </c>
      <c r="G27" s="18">
        <v>30000</v>
      </c>
      <c r="H27" s="14">
        <f t="shared" si="10"/>
        <v>5400</v>
      </c>
      <c r="I27" s="14"/>
      <c r="J27" s="14">
        <f t="shared" si="11"/>
        <v>35400</v>
      </c>
      <c r="K27" s="14" t="s">
        <v>23</v>
      </c>
    </row>
    <row r="28" spans="1:11" x14ac:dyDescent="0.3">
      <c r="A28" s="24"/>
      <c r="B28" s="14">
        <v>500</v>
      </c>
      <c r="C28" s="14" t="s">
        <v>25</v>
      </c>
      <c r="D28" s="14">
        <v>3.5</v>
      </c>
      <c r="E28" s="14">
        <f t="shared" si="8"/>
        <v>0.63</v>
      </c>
      <c r="F28" s="14">
        <f t="shared" si="9"/>
        <v>4.13</v>
      </c>
      <c r="G28" s="18">
        <v>30000</v>
      </c>
      <c r="H28" s="14">
        <f t="shared" si="10"/>
        <v>5400</v>
      </c>
      <c r="I28" s="14"/>
      <c r="J28" s="14">
        <f t="shared" si="11"/>
        <v>35400</v>
      </c>
      <c r="K28" s="14" t="s">
        <v>23</v>
      </c>
    </row>
    <row r="29" spans="1:11" x14ac:dyDescent="0.3">
      <c r="A29" s="24"/>
      <c r="B29" s="14">
        <v>1000</v>
      </c>
      <c r="C29" s="14" t="s">
        <v>25</v>
      </c>
      <c r="D29" s="14">
        <v>3.5</v>
      </c>
      <c r="E29" s="14">
        <f t="shared" si="8"/>
        <v>0.63</v>
      </c>
      <c r="F29" s="14">
        <f t="shared" si="9"/>
        <v>4.13</v>
      </c>
      <c r="G29" s="18">
        <v>30000</v>
      </c>
      <c r="H29" s="14">
        <f t="shared" si="10"/>
        <v>5400</v>
      </c>
      <c r="I29" s="14"/>
      <c r="J29" s="14">
        <f t="shared" si="11"/>
        <v>35400</v>
      </c>
      <c r="K29" s="14" t="s">
        <v>23</v>
      </c>
    </row>
    <row r="30" spans="1:11" x14ac:dyDescent="0.3">
      <c r="A30" s="24"/>
      <c r="B30" s="14">
        <v>5000</v>
      </c>
      <c r="C30" s="14" t="s">
        <v>25</v>
      </c>
      <c r="D30" s="14">
        <v>3.5</v>
      </c>
      <c r="E30" s="14">
        <f t="shared" si="8"/>
        <v>0.63</v>
      </c>
      <c r="F30" s="14">
        <f t="shared" si="9"/>
        <v>4.13</v>
      </c>
      <c r="G30" s="18">
        <v>30000</v>
      </c>
      <c r="H30" s="14">
        <f t="shared" si="10"/>
        <v>5400</v>
      </c>
      <c r="I30" s="14"/>
      <c r="J30" s="14">
        <f t="shared" si="11"/>
        <v>35400</v>
      </c>
      <c r="K30" s="14" t="s">
        <v>23</v>
      </c>
    </row>
    <row r="31" spans="1:11" x14ac:dyDescent="0.3">
      <c r="A31" s="24"/>
      <c r="B31" s="16" t="s">
        <v>26</v>
      </c>
      <c r="C31" s="14" t="s">
        <v>25</v>
      </c>
      <c r="D31" s="14">
        <v>3.5</v>
      </c>
      <c r="E31" s="14">
        <f t="shared" si="8"/>
        <v>0.63</v>
      </c>
      <c r="F31" s="14">
        <f t="shared" si="9"/>
        <v>4.13</v>
      </c>
      <c r="G31" s="18">
        <v>30000</v>
      </c>
      <c r="H31" s="14">
        <f t="shared" si="10"/>
        <v>5400</v>
      </c>
      <c r="I31" s="14"/>
      <c r="J31" s="14">
        <f t="shared" si="11"/>
        <v>35400</v>
      </c>
      <c r="K31" s="14" t="s">
        <v>23</v>
      </c>
    </row>
  </sheetData>
  <mergeCells count="5">
    <mergeCell ref="C1:D1"/>
    <mergeCell ref="E1:F1"/>
    <mergeCell ref="I1:K1"/>
    <mergeCell ref="I3:K3"/>
    <mergeCell ref="I4:K4"/>
  </mergeCells>
  <pageMargins left="0.39" right="0.12" top="0.56000000000000005" bottom="0.25" header="0.3" footer="0.14000000000000001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BFD5B-1FD5-497E-A54D-5BB5F9285DBB}">
  <dimension ref="A1:G15"/>
  <sheetViews>
    <sheetView workbookViewId="0">
      <selection activeCell="N14" sqref="K14:N14"/>
    </sheetView>
  </sheetViews>
  <sheetFormatPr defaultRowHeight="14.4" x14ac:dyDescent="0.3"/>
  <cols>
    <col min="2" max="2" width="23.21875" bestFit="1" customWidth="1"/>
  </cols>
  <sheetData>
    <row r="1" spans="1:7" x14ac:dyDescent="0.3">
      <c r="A1" s="1"/>
      <c r="B1" t="s">
        <v>28</v>
      </c>
      <c r="G1" s="3"/>
    </row>
    <row r="2" spans="1:7" x14ac:dyDescent="0.3">
      <c r="A2" s="1"/>
      <c r="B2" t="s">
        <v>29</v>
      </c>
      <c r="G2" s="3"/>
    </row>
    <row r="3" spans="1:7" x14ac:dyDescent="0.3">
      <c r="A3" s="1"/>
      <c r="B3" t="s">
        <v>9</v>
      </c>
      <c r="C3">
        <v>9000</v>
      </c>
      <c r="D3">
        <f>C3*18%</f>
        <v>1620</v>
      </c>
      <c r="E3">
        <f>D3+C3</f>
        <v>10620</v>
      </c>
      <c r="G3" s="3"/>
    </row>
    <row r="4" spans="1:7" x14ac:dyDescent="0.3">
      <c r="A4" s="1"/>
      <c r="B4" t="s">
        <v>13</v>
      </c>
      <c r="C4">
        <v>18000</v>
      </c>
      <c r="D4">
        <f>C4*18%</f>
        <v>3240</v>
      </c>
      <c r="E4">
        <f>D4+C4</f>
        <v>21240</v>
      </c>
      <c r="G4" s="3"/>
    </row>
    <row r="5" spans="1:7" ht="57.6" x14ac:dyDescent="0.3">
      <c r="A5" s="1"/>
      <c r="B5" t="s">
        <v>30</v>
      </c>
      <c r="C5">
        <v>25</v>
      </c>
      <c r="D5">
        <f>C5*18%</f>
        <v>4.5</v>
      </c>
      <c r="E5">
        <f>D5+C5</f>
        <v>29.5</v>
      </c>
      <c r="F5" t="s">
        <v>31</v>
      </c>
      <c r="G5" s="3" t="s">
        <v>32</v>
      </c>
    </row>
    <row r="6" spans="1:7" x14ac:dyDescent="0.3">
      <c r="A6" s="1"/>
      <c r="B6" t="s">
        <v>33</v>
      </c>
      <c r="G6" s="3"/>
    </row>
    <row r="7" spans="1:7" ht="28.8" x14ac:dyDescent="0.3">
      <c r="A7" s="1"/>
      <c r="B7" t="s">
        <v>34</v>
      </c>
      <c r="C7">
        <v>10000</v>
      </c>
      <c r="D7" t="s">
        <v>35</v>
      </c>
      <c r="E7" t="s">
        <v>36</v>
      </c>
      <c r="F7">
        <v>10000</v>
      </c>
      <c r="G7" s="3" t="s">
        <v>37</v>
      </c>
    </row>
    <row r="8" spans="1:7" x14ac:dyDescent="0.3">
      <c r="A8" s="1"/>
      <c r="B8" t="s">
        <v>38</v>
      </c>
      <c r="C8">
        <v>2</v>
      </c>
      <c r="D8" t="s">
        <v>39</v>
      </c>
      <c r="G8" s="3"/>
    </row>
    <row r="9" spans="1:7" x14ac:dyDescent="0.3">
      <c r="A9" s="1"/>
      <c r="D9" t="s">
        <v>40</v>
      </c>
      <c r="G9" s="3"/>
    </row>
    <row r="10" spans="1:7" x14ac:dyDescent="0.3">
      <c r="A10" s="1"/>
      <c r="B10" t="s">
        <v>41</v>
      </c>
      <c r="C10">
        <v>5000</v>
      </c>
      <c r="G10" s="3"/>
    </row>
    <row r="11" spans="1:7" x14ac:dyDescent="0.3">
      <c r="A11" s="1"/>
      <c r="G11" s="3"/>
    </row>
    <row r="12" spans="1:7" x14ac:dyDescent="0.3">
      <c r="A12" s="1"/>
      <c r="B12" t="s">
        <v>42</v>
      </c>
      <c r="G12" s="3"/>
    </row>
    <row r="13" spans="1:7" ht="100.8" x14ac:dyDescent="0.3">
      <c r="A13" s="1"/>
      <c r="B13" s="3" t="s">
        <v>43</v>
      </c>
      <c r="C13">
        <v>3000</v>
      </c>
      <c r="G13" s="3"/>
    </row>
    <row r="14" spans="1:7" ht="115.2" x14ac:dyDescent="0.3">
      <c r="A14" s="1"/>
      <c r="B14" s="3" t="s">
        <v>47</v>
      </c>
      <c r="C14" s="3" t="s">
        <v>45</v>
      </c>
      <c r="D14" s="7" t="s">
        <v>46</v>
      </c>
      <c r="G14" s="3"/>
    </row>
    <row r="15" spans="1:7" x14ac:dyDescent="0.3">
      <c r="A15" s="1"/>
      <c r="G1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0C4C-8C4E-4D3B-B35C-0C4E939AACF5}">
  <dimension ref="A1:D8"/>
  <sheetViews>
    <sheetView workbookViewId="0">
      <selection activeCell="C15" sqref="C15"/>
    </sheetView>
  </sheetViews>
  <sheetFormatPr defaultRowHeight="14.4" x14ac:dyDescent="0.3"/>
  <cols>
    <col min="1" max="1" width="22.6640625" customWidth="1"/>
    <col min="2" max="2" width="18" customWidth="1"/>
    <col min="4" max="4" width="17.33203125" customWidth="1"/>
  </cols>
  <sheetData>
    <row r="1" spans="1:4" ht="28.8" x14ac:dyDescent="0.3">
      <c r="A1" s="12" t="s">
        <v>9</v>
      </c>
      <c r="B1" s="15" t="s">
        <v>20</v>
      </c>
      <c r="C1" s="12" t="s">
        <v>18</v>
      </c>
      <c r="D1" s="15" t="s">
        <v>19</v>
      </c>
    </row>
    <row r="2" spans="1:4" x14ac:dyDescent="0.3">
      <c r="A2" s="14">
        <v>50</v>
      </c>
      <c r="B2" s="18">
        <v>5000</v>
      </c>
      <c r="C2" s="14">
        <v>900</v>
      </c>
      <c r="D2" s="14">
        <v>5900</v>
      </c>
    </row>
    <row r="3" spans="1:4" x14ac:dyDescent="0.3">
      <c r="A3" s="14">
        <v>100</v>
      </c>
      <c r="B3" s="18">
        <v>2500</v>
      </c>
      <c r="C3" s="14">
        <v>450</v>
      </c>
      <c r="D3" s="14">
        <v>2950</v>
      </c>
    </row>
    <row r="4" spans="1:4" x14ac:dyDescent="0.3">
      <c r="A4" s="14">
        <v>250</v>
      </c>
      <c r="B4" s="18">
        <v>2500</v>
      </c>
      <c r="C4" s="14">
        <v>450</v>
      </c>
      <c r="D4" s="14">
        <v>2950</v>
      </c>
    </row>
    <row r="5" spans="1:4" x14ac:dyDescent="0.3">
      <c r="A5" s="14">
        <v>500</v>
      </c>
      <c r="B5" s="18">
        <v>2000</v>
      </c>
      <c r="C5" s="14">
        <v>360</v>
      </c>
      <c r="D5" s="14">
        <v>2360</v>
      </c>
    </row>
    <row r="6" spans="1:4" x14ac:dyDescent="0.3">
      <c r="A6" s="14">
        <v>1000</v>
      </c>
      <c r="B6" s="18">
        <v>2000</v>
      </c>
      <c r="C6" s="14">
        <v>360</v>
      </c>
      <c r="D6" s="14">
        <v>2360</v>
      </c>
    </row>
    <row r="7" spans="1:4" x14ac:dyDescent="0.3">
      <c r="A7" s="14">
        <v>5000</v>
      </c>
      <c r="B7" s="18">
        <v>2000</v>
      </c>
      <c r="C7" s="14">
        <v>360</v>
      </c>
      <c r="D7" s="14">
        <v>2360</v>
      </c>
    </row>
    <row r="8" spans="1:4" x14ac:dyDescent="0.3">
      <c r="A8" s="16" t="s">
        <v>26</v>
      </c>
      <c r="B8" s="18">
        <v>2000</v>
      </c>
      <c r="C8" s="14">
        <v>360</v>
      </c>
      <c r="D8" s="14">
        <v>2360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Fixed Rate Card</vt:lpstr>
      <vt:lpstr>Fixed Rate Card for Print</vt:lpstr>
      <vt:lpstr>Fixed Rate Card for Print (2)</vt:lpstr>
      <vt:lpstr>Sheet1</vt:lpstr>
      <vt:lpstr>Single layer setup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PCB PCBXPRESS</cp:lastModifiedBy>
  <cp:lastPrinted>2025-11-25T04:54:50Z</cp:lastPrinted>
  <dcterms:created xsi:type="dcterms:W3CDTF">2025-10-31T09:13:10Z</dcterms:created>
  <dcterms:modified xsi:type="dcterms:W3CDTF">2026-01-01T12:40:32Z</dcterms:modified>
</cp:coreProperties>
</file>